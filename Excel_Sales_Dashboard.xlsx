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ales Data" sheetId="2" state="visible" r:id="rId4"/>
    <sheet name="Notes" sheetId="3" state="visible" r:id="rId5"/>
  </sheets>
  <definedNames>
    <definedName function="false" hidden="true" localSheetId="1" name="_xlnm._FilterDatabase" vbProcedure="false">'Sales Data'!$A$1:$I$241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<sst xmlns="http://schemas.openxmlformats.org/spreadsheetml/2006/main" count="1034" uniqueCount="304">
  <si>
    <t xml:space="preserve">Sales Performance Dashboard — FY2025 (Sample Data)</t>
  </si>
  <si>
    <t xml:space="preserve">Pick a region in the yellow cell; KPIs, categories, and monthly trend update automatically.</t>
  </si>
  <si>
    <t xml:space="preserve">Select Region:</t>
  </si>
  <si>
    <t xml:space="preserve">All</t>
  </si>
  <si>
    <t xml:space="preserve">Filter criteria (helper)</t>
  </si>
  <si>
    <t xml:space="preserve">KPI</t>
  </si>
  <si>
    <t xml:space="preserve">Value</t>
  </si>
  <si>
    <t xml:space="preserve">Region</t>
  </si>
  <si>
    <t xml:space="preserve">Revenue (INR)</t>
  </si>
  <si>
    <t xml:space="preserve">Share</t>
  </si>
  <si>
    <t xml:space="preserve">Total Revenue (INR)</t>
  </si>
  <si>
    <t xml:space="preserve">North</t>
  </si>
  <si>
    <t xml:space="preserve">Total Orders</t>
  </si>
  <si>
    <t xml:space="preserve">South</t>
  </si>
  <si>
    <t xml:space="preserve">Avg Order Value (INR)</t>
  </si>
  <si>
    <t xml:space="preserve">East</t>
  </si>
  <si>
    <t xml:space="preserve">Units Sold</t>
  </si>
  <si>
    <t xml:space="preserve">West</t>
  </si>
  <si>
    <t xml:space="preserve">Avg Discount Given</t>
  </si>
  <si>
    <t xml:space="preserve">Total</t>
  </si>
  <si>
    <t xml:space="preserve">Top Region (by revenue)</t>
  </si>
  <si>
    <t xml:space="preserve">Monthly Revenue Trend (follows region filter)</t>
  </si>
  <si>
    <t xml:space="preserve">Revenue by Category (follows region filter)</t>
  </si>
  <si>
    <t xml:space="preserve">Month</t>
  </si>
  <si>
    <t xml:space="preserve">MoM Growth</t>
  </si>
  <si>
    <t xml:space="preserve">Category</t>
  </si>
  <si>
    <t xml:space="preserve">n/a</t>
  </si>
  <si>
    <t xml:space="preserve">Electronics</t>
  </si>
  <si>
    <t xml:space="preserve">Furniture</t>
  </si>
  <si>
    <t xml:space="preserve">Office Supplies</t>
  </si>
  <si>
    <t xml:space="preserve">Accessories</t>
  </si>
  <si>
    <t xml:space="preserve">Product Ranking (follows region filter)</t>
  </si>
  <si>
    <t xml:space="preserve">Product</t>
  </si>
  <si>
    <t xml:space="preserve">Rank</t>
  </si>
  <si>
    <t xml:space="preserve">Laptop</t>
  </si>
  <si>
    <t xml:space="preserve">Smartphone</t>
  </si>
  <si>
    <t xml:space="preserve">Headphones</t>
  </si>
  <si>
    <t xml:space="preserve">Office Chair</t>
  </si>
  <si>
    <t xml:space="preserve">Standing Desk</t>
  </si>
  <si>
    <t xml:space="preserve">Printer Paper (Box)</t>
  </si>
  <si>
    <t xml:space="preserve">Notebook Pack</t>
  </si>
  <si>
    <t xml:space="preserve">Keyboard</t>
  </si>
  <si>
    <t xml:space="preserve">Mouse</t>
  </si>
  <si>
    <t xml:space="preserve">Webcam</t>
  </si>
  <si>
    <t xml:space="preserve">Top product</t>
  </si>
  <si>
    <t xml:space="preserve">Order ID</t>
  </si>
  <si>
    <t xml:space="preserve">Date</t>
  </si>
  <si>
    <t xml:space="preserve">Units</t>
  </si>
  <si>
    <t xml:space="preserve">Unit Price (INR)</t>
  </si>
  <si>
    <t xml:space="preserve">Discount %</t>
  </si>
  <si>
    <t xml:space="preserve">ORD-1001</t>
  </si>
  <si>
    <t xml:space="preserve">ORD-1002</t>
  </si>
  <si>
    <t xml:space="preserve">ORD-1003</t>
  </si>
  <si>
    <t xml:space="preserve">ORD-1004</t>
  </si>
  <si>
    <t xml:space="preserve">ORD-1005</t>
  </si>
  <si>
    <t xml:space="preserve">ORD-1006</t>
  </si>
  <si>
    <t xml:space="preserve">ORD-1007</t>
  </si>
  <si>
    <t xml:space="preserve">ORD-1008</t>
  </si>
  <si>
    <t xml:space="preserve">ORD-1009</t>
  </si>
  <si>
    <t xml:space="preserve">ORD-1010</t>
  </si>
  <si>
    <t xml:space="preserve">ORD-1011</t>
  </si>
  <si>
    <t xml:space="preserve">ORD-1012</t>
  </si>
  <si>
    <t xml:space="preserve">ORD-1013</t>
  </si>
  <si>
    <t xml:space="preserve">ORD-1014</t>
  </si>
  <si>
    <t xml:space="preserve">ORD-1015</t>
  </si>
  <si>
    <t xml:space="preserve">ORD-1016</t>
  </si>
  <si>
    <t xml:space="preserve">ORD-1017</t>
  </si>
  <si>
    <t xml:space="preserve">ORD-1018</t>
  </si>
  <si>
    <t xml:space="preserve">ORD-1019</t>
  </si>
  <si>
    <t xml:space="preserve">ORD-1020</t>
  </si>
  <si>
    <t xml:space="preserve">ORD-1021</t>
  </si>
  <si>
    <t xml:space="preserve">ORD-1022</t>
  </si>
  <si>
    <t xml:space="preserve">ORD-1023</t>
  </si>
  <si>
    <t xml:space="preserve">ORD-1024</t>
  </si>
  <si>
    <t xml:space="preserve">ORD-1025</t>
  </si>
  <si>
    <t xml:space="preserve">ORD-1026</t>
  </si>
  <si>
    <t xml:space="preserve">ORD-1027</t>
  </si>
  <si>
    <t xml:space="preserve">ORD-1028</t>
  </si>
  <si>
    <t xml:space="preserve">ORD-1029</t>
  </si>
  <si>
    <t xml:space="preserve">ORD-1030</t>
  </si>
  <si>
    <t xml:space="preserve">ORD-1031</t>
  </si>
  <si>
    <t xml:space="preserve">ORD-1032</t>
  </si>
  <si>
    <t xml:space="preserve">ORD-1033</t>
  </si>
  <si>
    <t xml:space="preserve">ORD-1034</t>
  </si>
  <si>
    <t xml:space="preserve">ORD-1035</t>
  </si>
  <si>
    <t xml:space="preserve">ORD-1036</t>
  </si>
  <si>
    <t xml:space="preserve">ORD-1037</t>
  </si>
  <si>
    <t xml:space="preserve">ORD-1038</t>
  </si>
  <si>
    <t xml:space="preserve">ORD-1039</t>
  </si>
  <si>
    <t xml:space="preserve">ORD-1040</t>
  </si>
  <si>
    <t xml:space="preserve">ORD-1041</t>
  </si>
  <si>
    <t xml:space="preserve">ORD-1042</t>
  </si>
  <si>
    <t xml:space="preserve">ORD-1043</t>
  </si>
  <si>
    <t xml:space="preserve">ORD-1044</t>
  </si>
  <si>
    <t xml:space="preserve">ORD-1045</t>
  </si>
  <si>
    <t xml:space="preserve">ORD-1046</t>
  </si>
  <si>
    <t xml:space="preserve">ORD-1047</t>
  </si>
  <si>
    <t xml:space="preserve">ORD-1048</t>
  </si>
  <si>
    <t xml:space="preserve">ORD-1049</t>
  </si>
  <si>
    <t xml:space="preserve">ORD-1050</t>
  </si>
  <si>
    <t xml:space="preserve">ORD-1051</t>
  </si>
  <si>
    <t xml:space="preserve">ORD-1052</t>
  </si>
  <si>
    <t xml:space="preserve">ORD-1053</t>
  </si>
  <si>
    <t xml:space="preserve">ORD-1054</t>
  </si>
  <si>
    <t xml:space="preserve">ORD-1055</t>
  </si>
  <si>
    <t xml:space="preserve">ORD-1056</t>
  </si>
  <si>
    <t xml:space="preserve">ORD-1057</t>
  </si>
  <si>
    <t xml:space="preserve">ORD-1058</t>
  </si>
  <si>
    <t xml:space="preserve">ORD-1059</t>
  </si>
  <si>
    <t xml:space="preserve">ORD-1060</t>
  </si>
  <si>
    <t xml:space="preserve">ORD-1061</t>
  </si>
  <si>
    <t xml:space="preserve">ORD-1062</t>
  </si>
  <si>
    <t xml:space="preserve">ORD-1063</t>
  </si>
  <si>
    <t xml:space="preserve">ORD-1064</t>
  </si>
  <si>
    <t xml:space="preserve">ORD-1065</t>
  </si>
  <si>
    <t xml:space="preserve">ORD-1066</t>
  </si>
  <si>
    <t xml:space="preserve">ORD-1067</t>
  </si>
  <si>
    <t xml:space="preserve">ORD-1068</t>
  </si>
  <si>
    <t xml:space="preserve">ORD-1069</t>
  </si>
  <si>
    <t xml:space="preserve">ORD-1070</t>
  </si>
  <si>
    <t xml:space="preserve">ORD-1071</t>
  </si>
  <si>
    <t xml:space="preserve">ORD-1072</t>
  </si>
  <si>
    <t xml:space="preserve">ORD-1073</t>
  </si>
  <si>
    <t xml:space="preserve">ORD-1074</t>
  </si>
  <si>
    <t xml:space="preserve">ORD-1075</t>
  </si>
  <si>
    <t xml:space="preserve">ORD-1076</t>
  </si>
  <si>
    <t xml:space="preserve">ORD-1077</t>
  </si>
  <si>
    <t xml:space="preserve">ORD-1078</t>
  </si>
  <si>
    <t xml:space="preserve">ORD-1079</t>
  </si>
  <si>
    <t xml:space="preserve">ORD-1080</t>
  </si>
  <si>
    <t xml:space="preserve">ORD-1081</t>
  </si>
  <si>
    <t xml:space="preserve">ORD-1082</t>
  </si>
  <si>
    <t xml:space="preserve">ORD-1083</t>
  </si>
  <si>
    <t xml:space="preserve">ORD-1084</t>
  </si>
  <si>
    <t xml:space="preserve">ORD-1085</t>
  </si>
  <si>
    <t xml:space="preserve">ORD-1086</t>
  </si>
  <si>
    <t xml:space="preserve">ORD-1087</t>
  </si>
  <si>
    <t xml:space="preserve">ORD-1088</t>
  </si>
  <si>
    <t xml:space="preserve">ORD-1089</t>
  </si>
  <si>
    <t xml:space="preserve">ORD-1090</t>
  </si>
  <si>
    <t xml:space="preserve">ORD-1091</t>
  </si>
  <si>
    <t xml:space="preserve">ORD-1092</t>
  </si>
  <si>
    <t xml:space="preserve">ORD-1093</t>
  </si>
  <si>
    <t xml:space="preserve">ORD-1094</t>
  </si>
  <si>
    <t xml:space="preserve">ORD-1095</t>
  </si>
  <si>
    <t xml:space="preserve">ORD-1096</t>
  </si>
  <si>
    <t xml:space="preserve">ORD-1097</t>
  </si>
  <si>
    <t xml:space="preserve">ORD-1098</t>
  </si>
  <si>
    <t xml:space="preserve">ORD-1099</t>
  </si>
  <si>
    <t xml:space="preserve">ORD-1100</t>
  </si>
  <si>
    <t xml:space="preserve">ORD-1101</t>
  </si>
  <si>
    <t xml:space="preserve">ORD-1102</t>
  </si>
  <si>
    <t xml:space="preserve">ORD-1103</t>
  </si>
  <si>
    <t xml:space="preserve">ORD-1104</t>
  </si>
  <si>
    <t xml:space="preserve">ORD-1105</t>
  </si>
  <si>
    <t xml:space="preserve">ORD-1106</t>
  </si>
  <si>
    <t xml:space="preserve">ORD-1107</t>
  </si>
  <si>
    <t xml:space="preserve">ORD-1108</t>
  </si>
  <si>
    <t xml:space="preserve">ORD-1109</t>
  </si>
  <si>
    <t xml:space="preserve">ORD-1110</t>
  </si>
  <si>
    <t xml:space="preserve">ORD-1111</t>
  </si>
  <si>
    <t xml:space="preserve">ORD-1112</t>
  </si>
  <si>
    <t xml:space="preserve">ORD-1113</t>
  </si>
  <si>
    <t xml:space="preserve">ORD-1114</t>
  </si>
  <si>
    <t xml:space="preserve">ORD-1115</t>
  </si>
  <si>
    <t xml:space="preserve">ORD-1116</t>
  </si>
  <si>
    <t xml:space="preserve">ORD-1117</t>
  </si>
  <si>
    <t xml:space="preserve">ORD-1118</t>
  </si>
  <si>
    <t xml:space="preserve">ORD-1119</t>
  </si>
  <si>
    <t xml:space="preserve">ORD-1120</t>
  </si>
  <si>
    <t xml:space="preserve">ORD-1121</t>
  </si>
  <si>
    <t xml:space="preserve">ORD-1122</t>
  </si>
  <si>
    <t xml:space="preserve">ORD-1123</t>
  </si>
  <si>
    <t xml:space="preserve">ORD-1124</t>
  </si>
  <si>
    <t xml:space="preserve">ORD-1125</t>
  </si>
  <si>
    <t xml:space="preserve">ORD-1126</t>
  </si>
  <si>
    <t xml:space="preserve">ORD-1127</t>
  </si>
  <si>
    <t xml:space="preserve">ORD-1128</t>
  </si>
  <si>
    <t xml:space="preserve">ORD-1129</t>
  </si>
  <si>
    <t xml:space="preserve">ORD-1130</t>
  </si>
  <si>
    <t xml:space="preserve">ORD-1131</t>
  </si>
  <si>
    <t xml:space="preserve">ORD-1132</t>
  </si>
  <si>
    <t xml:space="preserve">ORD-1133</t>
  </si>
  <si>
    <t xml:space="preserve">ORD-1134</t>
  </si>
  <si>
    <t xml:space="preserve">ORD-1135</t>
  </si>
  <si>
    <t xml:space="preserve">ORD-1136</t>
  </si>
  <si>
    <t xml:space="preserve">ORD-1137</t>
  </si>
  <si>
    <t xml:space="preserve">ORD-1138</t>
  </si>
  <si>
    <t xml:space="preserve">ORD-1139</t>
  </si>
  <si>
    <t xml:space="preserve">ORD-1140</t>
  </si>
  <si>
    <t xml:space="preserve">ORD-1141</t>
  </si>
  <si>
    <t xml:space="preserve">ORD-1142</t>
  </si>
  <si>
    <t xml:space="preserve">ORD-1143</t>
  </si>
  <si>
    <t xml:space="preserve">ORD-1144</t>
  </si>
  <si>
    <t xml:space="preserve">ORD-1145</t>
  </si>
  <si>
    <t xml:space="preserve">ORD-1146</t>
  </si>
  <si>
    <t xml:space="preserve">ORD-1147</t>
  </si>
  <si>
    <t xml:space="preserve">ORD-1148</t>
  </si>
  <si>
    <t xml:space="preserve">ORD-1149</t>
  </si>
  <si>
    <t xml:space="preserve">ORD-1150</t>
  </si>
  <si>
    <t xml:space="preserve">ORD-1151</t>
  </si>
  <si>
    <t xml:space="preserve">ORD-1152</t>
  </si>
  <si>
    <t xml:space="preserve">ORD-1153</t>
  </si>
  <si>
    <t xml:space="preserve">ORD-1154</t>
  </si>
  <si>
    <t xml:space="preserve">ORD-1155</t>
  </si>
  <si>
    <t xml:space="preserve">ORD-1156</t>
  </si>
  <si>
    <t xml:space="preserve">ORD-1157</t>
  </si>
  <si>
    <t xml:space="preserve">ORD-1158</t>
  </si>
  <si>
    <t xml:space="preserve">ORD-1159</t>
  </si>
  <si>
    <t xml:space="preserve">ORD-1160</t>
  </si>
  <si>
    <t xml:space="preserve">ORD-1161</t>
  </si>
  <si>
    <t xml:space="preserve">ORD-1162</t>
  </si>
  <si>
    <t xml:space="preserve">ORD-1163</t>
  </si>
  <si>
    <t xml:space="preserve">ORD-1164</t>
  </si>
  <si>
    <t xml:space="preserve">ORD-1165</t>
  </si>
  <si>
    <t xml:space="preserve">ORD-1166</t>
  </si>
  <si>
    <t xml:space="preserve">ORD-1167</t>
  </si>
  <si>
    <t xml:space="preserve">ORD-1168</t>
  </si>
  <si>
    <t xml:space="preserve">ORD-1169</t>
  </si>
  <si>
    <t xml:space="preserve">ORD-1170</t>
  </si>
  <si>
    <t xml:space="preserve">ORD-1171</t>
  </si>
  <si>
    <t xml:space="preserve">ORD-1172</t>
  </si>
  <si>
    <t xml:space="preserve">ORD-1173</t>
  </si>
  <si>
    <t xml:space="preserve">ORD-1174</t>
  </si>
  <si>
    <t xml:space="preserve">ORD-1175</t>
  </si>
  <si>
    <t xml:space="preserve">ORD-1176</t>
  </si>
  <si>
    <t xml:space="preserve">ORD-1177</t>
  </si>
  <si>
    <t xml:space="preserve">ORD-1178</t>
  </si>
  <si>
    <t xml:space="preserve">ORD-1179</t>
  </si>
  <si>
    <t xml:space="preserve">ORD-1180</t>
  </si>
  <si>
    <t xml:space="preserve">ORD-1181</t>
  </si>
  <si>
    <t xml:space="preserve">ORD-1182</t>
  </si>
  <si>
    <t xml:space="preserve">ORD-1183</t>
  </si>
  <si>
    <t xml:space="preserve">ORD-1184</t>
  </si>
  <si>
    <t xml:space="preserve">ORD-1185</t>
  </si>
  <si>
    <t xml:space="preserve">ORD-1186</t>
  </si>
  <si>
    <t xml:space="preserve">ORD-1187</t>
  </si>
  <si>
    <t xml:space="preserve">ORD-1188</t>
  </si>
  <si>
    <t xml:space="preserve">ORD-1189</t>
  </si>
  <si>
    <t xml:space="preserve">ORD-1190</t>
  </si>
  <si>
    <t xml:space="preserve">ORD-1191</t>
  </si>
  <si>
    <t xml:space="preserve">ORD-1192</t>
  </si>
  <si>
    <t xml:space="preserve">ORD-1193</t>
  </si>
  <si>
    <t xml:space="preserve">ORD-1194</t>
  </si>
  <si>
    <t xml:space="preserve">ORD-1195</t>
  </si>
  <si>
    <t xml:space="preserve">ORD-1196</t>
  </si>
  <si>
    <t xml:space="preserve">ORD-1197</t>
  </si>
  <si>
    <t xml:space="preserve">ORD-1198</t>
  </si>
  <si>
    <t xml:space="preserve">ORD-1199</t>
  </si>
  <si>
    <t xml:space="preserve">ORD-1200</t>
  </si>
  <si>
    <t xml:space="preserve">ORD-1201</t>
  </si>
  <si>
    <t xml:space="preserve">ORD-1202</t>
  </si>
  <si>
    <t xml:space="preserve">ORD-1203</t>
  </si>
  <si>
    <t xml:space="preserve">ORD-1204</t>
  </si>
  <si>
    <t xml:space="preserve">ORD-1205</t>
  </si>
  <si>
    <t xml:space="preserve">ORD-1206</t>
  </si>
  <si>
    <t xml:space="preserve">ORD-1207</t>
  </si>
  <si>
    <t xml:space="preserve">ORD-1208</t>
  </si>
  <si>
    <t xml:space="preserve">ORD-1209</t>
  </si>
  <si>
    <t xml:space="preserve">ORD-1210</t>
  </si>
  <si>
    <t xml:space="preserve">ORD-1211</t>
  </si>
  <si>
    <t xml:space="preserve">ORD-1212</t>
  </si>
  <si>
    <t xml:space="preserve">ORD-1213</t>
  </si>
  <si>
    <t xml:space="preserve">ORD-1214</t>
  </si>
  <si>
    <t xml:space="preserve">ORD-1215</t>
  </si>
  <si>
    <t xml:space="preserve">ORD-1216</t>
  </si>
  <si>
    <t xml:space="preserve">ORD-1217</t>
  </si>
  <si>
    <t xml:space="preserve">ORD-1218</t>
  </si>
  <si>
    <t xml:space="preserve">ORD-1219</t>
  </si>
  <si>
    <t xml:space="preserve">ORD-1220</t>
  </si>
  <si>
    <t xml:space="preserve">ORD-1221</t>
  </si>
  <si>
    <t xml:space="preserve">ORD-1222</t>
  </si>
  <si>
    <t xml:space="preserve">ORD-1223</t>
  </si>
  <si>
    <t xml:space="preserve">ORD-1224</t>
  </si>
  <si>
    <t xml:space="preserve">ORD-1225</t>
  </si>
  <si>
    <t xml:space="preserve">ORD-1226</t>
  </si>
  <si>
    <t xml:space="preserve">ORD-1227</t>
  </si>
  <si>
    <t xml:space="preserve">ORD-1228</t>
  </si>
  <si>
    <t xml:space="preserve">ORD-1229</t>
  </si>
  <si>
    <t xml:space="preserve">ORD-1230</t>
  </si>
  <si>
    <t xml:space="preserve">ORD-1231</t>
  </si>
  <si>
    <t xml:space="preserve">ORD-1232</t>
  </si>
  <si>
    <t xml:space="preserve">ORD-1233</t>
  </si>
  <si>
    <t xml:space="preserve">ORD-1234</t>
  </si>
  <si>
    <t xml:space="preserve">ORD-1235</t>
  </si>
  <si>
    <t xml:space="preserve">ORD-1236</t>
  </si>
  <si>
    <t xml:space="preserve">ORD-1237</t>
  </si>
  <si>
    <t xml:space="preserve">ORD-1238</t>
  </si>
  <si>
    <t xml:space="preserve">ORD-1239</t>
  </si>
  <si>
    <t xml:space="preserve">ORD-1240</t>
  </si>
  <si>
    <t xml:space="preserve">About this workbook</t>
  </si>
  <si>
    <t xml:space="preserve">Purpose: interactive sales dashboard built to demonstrate Advanced Excel reporting skills.</t>
  </si>
  <si>
    <t xml:space="preserve">Data: 240 SAMPLE orders (Jan–Dec 2025) generated for demonstration. Not real company data.</t>
  </si>
  <si>
    <t xml:space="preserve">How to use</t>
  </si>
  <si>
    <t xml:space="preserve">1. Open the Dashboard sheet and change the yellow cell (B3) to filter by region.</t>
  </si>
  <si>
    <t xml:space="preserve">2. Edit Units, Unit Price or Discount % (blue font) on Sales Data; Revenue and every dashboard figure recalculate.</t>
  </si>
  <si>
    <t xml:space="preserve">Excel features used</t>
  </si>
  <si>
    <t xml:space="preserve">SUMIFS / COUNTIFS / AVERAGEIFS with wildcard criteria for the "All" option</t>
  </si>
  <si>
    <t xml:space="preserve">INDEX-MATCH to find the top region and top product; RANK for product ranking</t>
  </si>
  <si>
    <t xml:space="preserve">EDATE + date-range SUMIFS for the monthly trend; month-over-month growth formulas</t>
  </si>
  <si>
    <t xml:space="preserve">Data Validation dropdown, Conditional Formatting (data bars, colour scale, +/- highlighting)</t>
  </si>
  <si>
    <t xml:space="preserve">Bar and line charts linked to the summary tables; frozen header row and AutoFilter on the data sheet</t>
  </si>
  <si>
    <t xml:space="preserve">Assumptions</t>
  </si>
  <si>
    <t xml:space="preserve">Revenue = Units x Unit Price x (1 - Discount %). Currency is INR. Blue font = hardcoded inputs, black = formulas.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</si>
</sst>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mmm\-yyyy"/>
    <numFmt numFmtId="168" formatCode="0.0%;\-0.0%;0.0%"/>
    <numFmt numFmtId="169" formatCode="0"/>
    <numFmt numFmtId="170" formatCode="dd\-mmm\-yyyy"/>
    <numFmt numFmtId="171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803C"/>
      </font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3C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Dashboard!F5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Dashboard!$E$6:$E$9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Dashboard!$F$6:$F$9</c:f>
              <c:numCache>
                <c:formatCode>#,##0</c:formatCode>
                <c:ptCount val="4"/>
                <c:pt idx="0">
                  <c:v>4650775</c:v>
                </c:pt>
                <c:pt idx="1">
                  <c:v>5216350</c:v>
                </c:pt>
                <c:pt idx="2">
                  <c:v>5114497.5</c:v>
                </c:pt>
                <c:pt idx="3">
                  <c:v>3338015</c:v>
                </c:pt>
              </c:numCache>
            </c:numRef>
          </c:val>
        </c:ser>
        <c:gapWidth val="150"/>
        <c:overlap val="0"/>
        <c:axId val="24482866"/>
        <c:axId val="48907801"/>
      </c:barChart>
      <c:catAx>
        <c:axId val="244828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07801"/>
        <c:crosses val="autoZero"/>
        <c:auto val="1"/>
        <c:lblAlgn val="ctr"/>
        <c:lblOffset val="100"/>
        <c:noMultiLvlLbl val="0"/>
      </c:catAx>
      <c:valAx>
        <c:axId val="489078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828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Dashboard!B14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Dashboard!$A$15:$A$26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Dashboard!$B$15:$B$26</c:f>
              <c:numCache>
                <c:formatCode>#,##0</c:formatCode>
                <c:ptCount val="12"/>
                <c:pt idx="0">
                  <c:v>1497560</c:v>
                </c:pt>
                <c:pt idx="1">
                  <c:v>595925</c:v>
                </c:pt>
                <c:pt idx="2">
                  <c:v>917255</c:v>
                </c:pt>
                <c:pt idx="3">
                  <c:v>1577480</c:v>
                </c:pt>
                <c:pt idx="4">
                  <c:v>1726295</c:v>
                </c:pt>
                <c:pt idx="5">
                  <c:v>812262.5</c:v>
                </c:pt>
                <c:pt idx="6">
                  <c:v>2204630</c:v>
                </c:pt>
                <c:pt idx="7">
                  <c:v>1183160</c:v>
                </c:pt>
                <c:pt idx="8">
                  <c:v>1655427.5</c:v>
                </c:pt>
                <c:pt idx="9">
                  <c:v>1458782.5</c:v>
                </c:pt>
                <c:pt idx="10">
                  <c:v>1797550</c:v>
                </c:pt>
                <c:pt idx="11">
                  <c:v>2893310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681973"/>
        <c:axId val="73661931"/>
      </c:lineChart>
      <c:catAx>
        <c:axId val="61681973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61931"/>
        <c:crosses val="autoZero"/>
        <c:auto val="1"/>
        <c:lblAlgn val="ctr"/>
        <c:lblOffset val="100"/>
        <c:noMultiLvlLbl val="0"/>
      </c:catAx>
      <c:valAx>
        <c:axId val="736619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819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16</xdr:col>
      <xdr:colOff>507600</xdr:colOff>
      <xdr:row>16</xdr:row>
      <xdr:rowOff>163800</xdr:rowOff>
    </xdr:to>
    <xdr:graphicFrame>
      <xdr:nvGraphicFramePr>
        <xdr:cNvPr id="0" name="Chart 1"/>
        <xdr:cNvGraphicFramePr/>
      </xdr:nvGraphicFramePr>
      <xdr:xfrm>
        <a:off x="808308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130680</xdr:rowOff>
    </xdr:from>
    <xdr:to>
      <xdr:col>16</xdr:col>
      <xdr:colOff>507600</xdr:colOff>
      <xdr:row>32</xdr:row>
      <xdr:rowOff>163440</xdr:rowOff>
    </xdr:to>
    <xdr:graphicFrame>
      <xdr:nvGraphicFramePr>
        <xdr:cNvPr id="1" name="Chart 2"/>
        <xdr:cNvGraphicFramePr/>
      </xdr:nvGraphicFramePr>
      <xdr:xfrm>
        <a:off x="808308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</row>
    <row r="4" customFormat="false" ht="15" hidden="false" customHeight="false" outlineLevel="0" collapsed="false">
      <c r="A4" s="5" t="s">
        <v>4</v>
      </c>
      <c r="B4" s="6" t="str">
        <f aca="false">IF(B3="All","*",B3)</f>
        <v>*</v>
      </c>
    </row>
    <row r="5" customFormat="false" ht="15" hidden="false" customHeight="false" outlineLevel="0" collapsed="false">
      <c r="A5" s="7" t="s">
        <v>5</v>
      </c>
      <c r="B5" s="7" t="s">
        <v>6</v>
      </c>
      <c r="E5" s="7" t="s">
        <v>7</v>
      </c>
      <c r="F5" s="7" t="s">
        <v>8</v>
      </c>
      <c r="G5" s="7" t="s">
        <v>9</v>
      </c>
    </row>
    <row r="6" customFormat="false" ht="15" hidden="false" customHeight="false" outlineLevel="0" collapsed="false">
      <c r="A6" s="8" t="s">
        <v>10</v>
      </c>
      <c r="B6" s="9" t="n">
        <f aca="false">SUMIFS('Sales Data'!$I$2:$I$241,'Sales Data'!$C$2:$C$241,$B$4)</f>
        <v>18319637.5</v>
      </c>
      <c r="E6" s="10" t="s">
        <v>11</v>
      </c>
      <c r="F6" s="11" t="n">
        <f aca="false">SUMIFS('Sales Data'!$I$2:$I$241,'Sales Data'!$C$2:$C$241,E6)</f>
        <v>4650775</v>
      </c>
      <c r="G6" s="12" t="n">
        <f aca="false">IFERROR(F6/$F$10,0)</f>
        <v>0.253868287513877</v>
      </c>
    </row>
    <row r="7" customFormat="false" ht="15" hidden="false" customHeight="false" outlineLevel="0" collapsed="false">
      <c r="A7" s="8" t="s">
        <v>12</v>
      </c>
      <c r="B7" s="9" t="n">
        <f aca="false">COUNTIFS('Sales Data'!$C$2:$C$241,$B$4)</f>
        <v>240</v>
      </c>
      <c r="E7" s="10" t="s">
        <v>13</v>
      </c>
      <c r="F7" s="11" t="n">
        <f aca="false">SUMIFS('Sales Data'!$I$2:$I$241,'Sales Data'!$C$2:$C$241,E7)</f>
        <v>5216350</v>
      </c>
      <c r="G7" s="12" t="n">
        <f aca="false">IFERROR(F7/$F$10,0)</f>
        <v>0.284740896210419</v>
      </c>
    </row>
    <row r="8" customFormat="false" ht="15" hidden="false" customHeight="false" outlineLevel="0" collapsed="false">
      <c r="A8" s="8" t="s">
        <v>14</v>
      </c>
      <c r="B8" s="9" t="n">
        <f aca="false">IFERROR(B6/B7,0)</f>
        <v>76331.8229166667</v>
      </c>
      <c r="E8" s="10" t="s">
        <v>15</v>
      </c>
      <c r="F8" s="11" t="n">
        <f aca="false">SUMIFS('Sales Data'!$I$2:$I$241,'Sales Data'!$C$2:$C$241,E8)</f>
        <v>5114497.5</v>
      </c>
      <c r="G8" s="12" t="n">
        <f aca="false">IFERROR(F8/$F$10,0)</f>
        <v>0.279181151919627</v>
      </c>
    </row>
    <row r="9" customFormat="false" ht="15" hidden="false" customHeight="false" outlineLevel="0" collapsed="false">
      <c r="A9" s="8" t="s">
        <v>16</v>
      </c>
      <c r="B9" s="9" t="n">
        <f aca="false">SUMIFS('Sales Data'!$F$2:$F$241,'Sales Data'!$C$2:$C$241,$B$4)</f>
        <v>1568</v>
      </c>
      <c r="E9" s="10" t="s">
        <v>17</v>
      </c>
      <c r="F9" s="11" t="n">
        <f aca="false">SUMIFS('Sales Data'!$I$2:$I$241,'Sales Data'!$C$2:$C$241,E9)</f>
        <v>3338015</v>
      </c>
      <c r="G9" s="12" t="n">
        <f aca="false">IFERROR(F9/$F$10,0)</f>
        <v>0.182209664356077</v>
      </c>
    </row>
    <row r="10" customFormat="false" ht="15" hidden="false" customHeight="false" outlineLevel="0" collapsed="false">
      <c r="A10" s="8" t="s">
        <v>18</v>
      </c>
      <c r="B10" s="13" t="n">
        <f aca="false">IFERROR(AVERAGEIFS('Sales Data'!$H$2:$H$241,'Sales Data'!$C$2:$C$241,$B$4),0)</f>
        <v>0.0625</v>
      </c>
      <c r="E10" s="8" t="s">
        <v>19</v>
      </c>
      <c r="F10" s="14" t="n">
        <f aca="false">SUM(F6:F9)</f>
        <v>18319637.5</v>
      </c>
      <c r="G10" s="15" t="n">
        <f aca="false">SUM(G6:G9)</f>
        <v>1</v>
      </c>
    </row>
    <row r="11" customFormat="false" ht="15" hidden="false" customHeight="false" outlineLevel="0" collapsed="false">
      <c r="A11" s="8" t="s">
        <v>20</v>
      </c>
      <c r="B11" s="16" t="str">
        <f aca="false">INDEX(E6:E9,MATCH(MAX(F6:F9),F6:F9,0))</f>
        <v>South</v>
      </c>
    </row>
    <row r="13" customFormat="false" ht="15" hidden="false" customHeight="false" outlineLevel="0" collapsed="false">
      <c r="A13" s="17" t="s">
        <v>21</v>
      </c>
      <c r="E13" s="17" t="s">
        <v>22</v>
      </c>
    </row>
    <row r="14" customFormat="false" ht="15" hidden="false" customHeight="false" outlineLevel="0" collapsed="false">
      <c r="A14" s="7" t="s">
        <v>23</v>
      </c>
      <c r="B14" s="7" t="s">
        <v>8</v>
      </c>
      <c r="C14" s="7" t="s">
        <v>24</v>
      </c>
      <c r="E14" s="7" t="s">
        <v>25</v>
      </c>
      <c r="F14" s="7" t="s">
        <v>8</v>
      </c>
      <c r="G14" s="7" t="s">
        <v>9</v>
      </c>
    </row>
    <row r="15" customFormat="false" ht="15" hidden="false" customHeight="false" outlineLevel="0" collapsed="false">
      <c r="A15" s="18" t="n">
        <v>45658</v>
      </c>
      <c r="B15" s="11" t="n">
        <f aca="false">SUMIFS('Sales Data'!$I$2:$I$241,'Sales Data'!$B$2:$B$241,"&gt;="&amp;A15,'Sales Data'!$B$2:$B$241,"&lt;"&amp;EDATE(A15,1),'Sales Data'!$C$2:$C$241,$B$4)</f>
        <v>1497560</v>
      </c>
      <c r="C15" s="19" t="s">
        <v>26</v>
      </c>
      <c r="E15" s="10" t="s">
        <v>27</v>
      </c>
      <c r="F15" s="11" t="n">
        <f aca="false">SUMIFS('Sales Data'!$I$2:$I$241,'Sales Data'!$D$2:$D$241,E15,'Sales Data'!$C$2:$C$241,$B$4)</f>
        <v>13446725</v>
      </c>
      <c r="G15" s="12" t="n">
        <f aca="false">IFERROR(F15/$F$19,0)</f>
        <v>0.734006063165824</v>
      </c>
    </row>
    <row r="16" customFormat="false" ht="15" hidden="false" customHeight="false" outlineLevel="0" collapsed="false">
      <c r="A16" s="18" t="n">
        <v>45689</v>
      </c>
      <c r="B16" s="11" t="n">
        <f aca="false">SUMIFS('Sales Data'!$I$2:$I$241,'Sales Data'!$B$2:$B$241,"&gt;="&amp;A16,'Sales Data'!$B$2:$B$241,"&lt;"&amp;EDATE(A16,1),'Sales Data'!$C$2:$C$241,$B$4)</f>
        <v>595925</v>
      </c>
      <c r="C16" s="19" t="n">
        <f aca="false">IFERROR(B16/B15-1,"n/a")</f>
        <v>-0.602069366168968</v>
      </c>
      <c r="E16" s="10" t="s">
        <v>28</v>
      </c>
      <c r="F16" s="11" t="n">
        <f aca="false">SUMIFS('Sales Data'!$I$2:$I$241,'Sales Data'!$D$2:$D$241,E16,'Sales Data'!$C$2:$C$241,$B$4)</f>
        <v>3608450</v>
      </c>
      <c r="G16" s="12" t="n">
        <f aca="false">IFERROR(F16/$F$19,0)</f>
        <v>0.196971692261924</v>
      </c>
    </row>
    <row r="17" customFormat="false" ht="15" hidden="false" customHeight="false" outlineLevel="0" collapsed="false">
      <c r="A17" s="18" t="n">
        <v>45717</v>
      </c>
      <c r="B17" s="11" t="n">
        <f aca="false">SUMIFS('Sales Data'!$I$2:$I$241,'Sales Data'!$B$2:$B$241,"&gt;="&amp;A17,'Sales Data'!$B$2:$B$241,"&lt;"&amp;EDATE(A17,1),'Sales Data'!$C$2:$C$241,$B$4)</f>
        <v>917255</v>
      </c>
      <c r="C17" s="19" t="n">
        <f aca="false">IFERROR(B17/B16-1,"n/a")</f>
        <v>0.539212149179847</v>
      </c>
      <c r="E17" s="10" t="s">
        <v>29</v>
      </c>
      <c r="F17" s="11" t="n">
        <f aca="false">SUMIFS('Sales Data'!$I$2:$I$241,'Sales Data'!$D$2:$D$241,E17,'Sales Data'!$C$2:$C$241,$B$4)</f>
        <v>195637.5</v>
      </c>
      <c r="G17" s="12" t="n">
        <f aca="false">IFERROR(F17/$F$19,0)</f>
        <v>0.0106791141473187</v>
      </c>
    </row>
    <row r="18" customFormat="false" ht="15" hidden="false" customHeight="false" outlineLevel="0" collapsed="false">
      <c r="A18" s="18" t="n">
        <v>45748</v>
      </c>
      <c r="B18" s="11" t="n">
        <f aca="false">SUMIFS('Sales Data'!$I$2:$I$241,'Sales Data'!$B$2:$B$241,"&gt;="&amp;A18,'Sales Data'!$B$2:$B$241,"&lt;"&amp;EDATE(A18,1),'Sales Data'!$C$2:$C$241,$B$4)</f>
        <v>1577480</v>
      </c>
      <c r="C18" s="19" t="n">
        <f aca="false">IFERROR(B18/B17-1,"n/a")</f>
        <v>0.719783484418183</v>
      </c>
      <c r="E18" s="10" t="s">
        <v>30</v>
      </c>
      <c r="F18" s="11" t="n">
        <f aca="false">SUMIFS('Sales Data'!$I$2:$I$241,'Sales Data'!$D$2:$D$241,E18,'Sales Data'!$C$2:$C$241,$B$4)</f>
        <v>1068825</v>
      </c>
      <c r="G18" s="12" t="n">
        <f aca="false">IFERROR(F18/$F$19,0)</f>
        <v>0.0583431304249334</v>
      </c>
    </row>
    <row r="19" customFormat="false" ht="15" hidden="false" customHeight="false" outlineLevel="0" collapsed="false">
      <c r="A19" s="18" t="n">
        <v>45778</v>
      </c>
      <c r="B19" s="11" t="n">
        <f aca="false">SUMIFS('Sales Data'!$I$2:$I$241,'Sales Data'!$B$2:$B$241,"&gt;="&amp;A19,'Sales Data'!$B$2:$B$241,"&lt;"&amp;EDATE(A19,1),'Sales Data'!$C$2:$C$241,$B$4)</f>
        <v>1726295</v>
      </c>
      <c r="C19" s="19" t="n">
        <f aca="false">IFERROR(B19/B18-1,"n/a")</f>
        <v>0.0943371706772826</v>
      </c>
      <c r="E19" s="8" t="s">
        <v>19</v>
      </c>
      <c r="F19" s="14" t="n">
        <f aca="false">SUM(F15:F18)</f>
        <v>18319637.5</v>
      </c>
      <c r="G19" s="15" t="n">
        <f aca="false">SUM(G15:G18)</f>
        <v>1</v>
      </c>
    </row>
    <row r="20" customFormat="false" ht="15" hidden="false" customHeight="false" outlineLevel="0" collapsed="false">
      <c r="A20" s="18" t="n">
        <v>45809</v>
      </c>
      <c r="B20" s="11" t="n">
        <f aca="false">SUMIFS('Sales Data'!$I$2:$I$241,'Sales Data'!$B$2:$B$241,"&gt;="&amp;A20,'Sales Data'!$B$2:$B$241,"&lt;"&amp;EDATE(A20,1),'Sales Data'!$C$2:$C$241,$B$4)</f>
        <v>812262.5</v>
      </c>
      <c r="C20" s="19" t="n">
        <f aca="false">IFERROR(B20/B19-1,"n/a")</f>
        <v>-0.529476422048375</v>
      </c>
    </row>
    <row r="21" customFormat="false" ht="15" hidden="false" customHeight="false" outlineLevel="0" collapsed="false">
      <c r="A21" s="18" t="n">
        <v>45839</v>
      </c>
      <c r="B21" s="11" t="n">
        <f aca="false">SUMIFS('Sales Data'!$I$2:$I$241,'Sales Data'!$B$2:$B$241,"&gt;="&amp;A21,'Sales Data'!$B$2:$B$241,"&lt;"&amp;EDATE(A21,1),'Sales Data'!$C$2:$C$241,$B$4)</f>
        <v>2204630</v>
      </c>
      <c r="C21" s="19" t="n">
        <f aca="false">IFERROR(B21/B20-1,"n/a")</f>
        <v>1.71418414613502</v>
      </c>
    </row>
    <row r="22" customFormat="false" ht="15" hidden="false" customHeight="false" outlineLevel="0" collapsed="false">
      <c r="A22" s="18" t="n">
        <v>45870</v>
      </c>
      <c r="B22" s="11" t="n">
        <f aca="false">SUMIFS('Sales Data'!$I$2:$I$241,'Sales Data'!$B$2:$B$241,"&gt;="&amp;A22,'Sales Data'!$B$2:$B$241,"&lt;"&amp;EDATE(A22,1),'Sales Data'!$C$2:$C$241,$B$4)</f>
        <v>1183160</v>
      </c>
      <c r="C22" s="19" t="n">
        <f aca="false">IFERROR(B22/B21-1,"n/a")</f>
        <v>-0.463329447571701</v>
      </c>
      <c r="E22" s="17" t="s">
        <v>31</v>
      </c>
    </row>
    <row r="23" customFormat="false" ht="15" hidden="false" customHeight="false" outlineLevel="0" collapsed="false">
      <c r="A23" s="18" t="n">
        <v>45901</v>
      </c>
      <c r="B23" s="11" t="n">
        <f aca="false">SUMIFS('Sales Data'!$I$2:$I$241,'Sales Data'!$B$2:$B$241,"&gt;="&amp;A23,'Sales Data'!$B$2:$B$241,"&lt;"&amp;EDATE(A23,1),'Sales Data'!$C$2:$C$241,$B$4)</f>
        <v>1655427.5</v>
      </c>
      <c r="C23" s="19" t="n">
        <f aca="false">IFERROR(B23/B22-1,"n/a")</f>
        <v>0.399157763954157</v>
      </c>
      <c r="E23" s="7" t="s">
        <v>32</v>
      </c>
      <c r="F23" s="7" t="s">
        <v>8</v>
      </c>
      <c r="G23" s="7" t="s">
        <v>33</v>
      </c>
    </row>
    <row r="24" customFormat="false" ht="15" hidden="false" customHeight="false" outlineLevel="0" collapsed="false">
      <c r="A24" s="18" t="n">
        <v>45931</v>
      </c>
      <c r="B24" s="11" t="n">
        <f aca="false">SUMIFS('Sales Data'!$I$2:$I$241,'Sales Data'!$B$2:$B$241,"&gt;="&amp;A24,'Sales Data'!$B$2:$B$241,"&lt;"&amp;EDATE(A24,1),'Sales Data'!$C$2:$C$241,$B$4)</f>
        <v>1458782.5</v>
      </c>
      <c r="C24" s="19" t="n">
        <f aca="false">IFERROR(B24/B23-1,"n/a")</f>
        <v>-0.118788047196268</v>
      </c>
      <c r="E24" s="10" t="s">
        <v>34</v>
      </c>
      <c r="F24" s="11" t="n">
        <f aca="false">SUMIFS('Sales Data'!$I$2:$I$241,'Sales Data'!$E$2:$E$241,E24,'Sales Data'!$C$2:$C$241,$B$4)</f>
        <v>8723000</v>
      </c>
      <c r="G24" s="20" t="n">
        <f aca="false">RANK(F24,$F$24:$F$33)</f>
        <v>1</v>
      </c>
    </row>
    <row r="25" customFormat="false" ht="15" hidden="false" customHeight="false" outlineLevel="0" collapsed="false">
      <c r="A25" s="18" t="n">
        <v>45962</v>
      </c>
      <c r="B25" s="11" t="n">
        <f aca="false">SUMIFS('Sales Data'!$I$2:$I$241,'Sales Data'!$B$2:$B$241,"&gt;="&amp;A25,'Sales Data'!$B$2:$B$241,"&lt;"&amp;EDATE(A25,1),'Sales Data'!$C$2:$C$241,$B$4)</f>
        <v>1797550</v>
      </c>
      <c r="C25" s="19" t="n">
        <f aca="false">IFERROR(B25/B24-1,"n/a")</f>
        <v>0.23222618861962</v>
      </c>
      <c r="E25" s="10" t="s">
        <v>35</v>
      </c>
      <c r="F25" s="11" t="n">
        <f aca="false">SUMIFS('Sales Data'!$I$2:$I$241,'Sales Data'!$E$2:$E$241,E25,'Sales Data'!$C$2:$C$241,$B$4)</f>
        <v>4210800</v>
      </c>
      <c r="G25" s="20" t="n">
        <f aca="false">RANK(F25,$F$24:$F$33)</f>
        <v>2</v>
      </c>
    </row>
    <row r="26" customFormat="false" ht="15" hidden="false" customHeight="false" outlineLevel="0" collapsed="false">
      <c r="A26" s="18" t="n">
        <v>45992</v>
      </c>
      <c r="B26" s="11" t="n">
        <f aca="false">SUMIFS('Sales Data'!$I$2:$I$241,'Sales Data'!$B$2:$B$241,"&gt;="&amp;A26,'Sales Data'!$B$2:$B$241,"&lt;"&amp;EDATE(A26,1),'Sales Data'!$C$2:$C$241,$B$4)</f>
        <v>2893310</v>
      </c>
      <c r="C26" s="19" t="n">
        <f aca="false">IFERROR(B26/B25-1,"n/a")</f>
        <v>0.609585268838141</v>
      </c>
      <c r="E26" s="10" t="s">
        <v>36</v>
      </c>
      <c r="F26" s="11" t="n">
        <f aca="false">SUMIFS('Sales Data'!$I$2:$I$241,'Sales Data'!$E$2:$E$241,E26,'Sales Data'!$C$2:$C$241,$B$4)</f>
        <v>512925</v>
      </c>
      <c r="G26" s="20" t="n">
        <f aca="false">RANK(F26,$F$24:$F$33)</f>
        <v>6</v>
      </c>
    </row>
    <row r="27" customFormat="false" ht="15" hidden="false" customHeight="false" outlineLevel="0" collapsed="false">
      <c r="A27" s="8" t="s">
        <v>19</v>
      </c>
      <c r="B27" s="14" t="n">
        <f aca="false">SUM(B15:B26)</f>
        <v>18319637.5</v>
      </c>
      <c r="C27" s="10"/>
      <c r="E27" s="10" t="s">
        <v>37</v>
      </c>
      <c r="F27" s="11" t="n">
        <f aca="false">SUMIFS('Sales Data'!$I$2:$I$241,'Sales Data'!$E$2:$E$241,E27,'Sales Data'!$C$2:$C$241,$B$4)</f>
        <v>1034450</v>
      </c>
      <c r="G27" s="20" t="n">
        <f aca="false">RANK(F27,$F$24:$F$33)</f>
        <v>4</v>
      </c>
    </row>
    <row r="28" customFormat="false" ht="15" hidden="false" customHeight="false" outlineLevel="0" collapsed="false">
      <c r="E28" s="10" t="s">
        <v>38</v>
      </c>
      <c r="F28" s="11" t="n">
        <f aca="false">SUMIFS('Sales Data'!$I$2:$I$241,'Sales Data'!$E$2:$E$241,E28,'Sales Data'!$C$2:$C$241,$B$4)</f>
        <v>2574000</v>
      </c>
      <c r="G28" s="20" t="n">
        <f aca="false">RANK(F28,$F$24:$F$33)</f>
        <v>3</v>
      </c>
    </row>
    <row r="29" customFormat="false" ht="15" hidden="false" customHeight="false" outlineLevel="0" collapsed="false">
      <c r="E29" s="10" t="s">
        <v>39</v>
      </c>
      <c r="F29" s="11" t="n">
        <f aca="false">SUMIFS('Sales Data'!$I$2:$I$241,'Sales Data'!$E$2:$E$241,E29,'Sales Data'!$C$2:$C$241,$B$4)</f>
        <v>163260</v>
      </c>
      <c r="G29" s="20" t="n">
        <f aca="false">RANK(F29,$F$24:$F$33)</f>
        <v>9</v>
      </c>
    </row>
    <row r="30" customFormat="false" ht="15" hidden="false" customHeight="false" outlineLevel="0" collapsed="false">
      <c r="E30" s="10" t="s">
        <v>40</v>
      </c>
      <c r="F30" s="11" t="n">
        <f aca="false">SUMIFS('Sales Data'!$I$2:$I$241,'Sales Data'!$E$2:$E$241,E30,'Sales Data'!$C$2:$C$241,$B$4)</f>
        <v>32377.5</v>
      </c>
      <c r="G30" s="20" t="n">
        <f aca="false">RANK(F30,$F$24:$F$33)</f>
        <v>10</v>
      </c>
    </row>
    <row r="31" customFormat="false" ht="15" hidden="false" customHeight="false" outlineLevel="0" collapsed="false">
      <c r="E31" s="10" t="s">
        <v>41</v>
      </c>
      <c r="F31" s="11" t="n">
        <f aca="false">SUMIFS('Sales Data'!$I$2:$I$241,'Sales Data'!$E$2:$E$241,E31,'Sales Data'!$C$2:$C$241,$B$4)</f>
        <v>336160</v>
      </c>
      <c r="G31" s="20" t="n">
        <f aca="false">RANK(F31,$F$24:$F$33)</f>
        <v>7</v>
      </c>
    </row>
    <row r="32" customFormat="false" ht="15" hidden="false" customHeight="false" outlineLevel="0" collapsed="false">
      <c r="E32" s="10" t="s">
        <v>42</v>
      </c>
      <c r="F32" s="11" t="n">
        <f aca="false">SUMIFS('Sales Data'!$I$2:$I$241,'Sales Data'!$E$2:$E$241,E32,'Sales Data'!$C$2:$C$241,$B$4)</f>
        <v>169785</v>
      </c>
      <c r="G32" s="20" t="n">
        <f aca="false">RANK(F32,$F$24:$F$33)</f>
        <v>8</v>
      </c>
    </row>
    <row r="33" customFormat="false" ht="15" hidden="false" customHeight="false" outlineLevel="0" collapsed="false">
      <c r="E33" s="10" t="s">
        <v>43</v>
      </c>
      <c r="F33" s="11" t="n">
        <f aca="false">SUMIFS('Sales Data'!$I$2:$I$241,'Sales Data'!$E$2:$E$241,E33,'Sales Data'!$C$2:$C$241,$B$4)</f>
        <v>562880</v>
      </c>
      <c r="G33" s="20" t="n">
        <f aca="false">RANK(F33,$F$24:$F$33)</f>
        <v>5</v>
      </c>
    </row>
    <row r="34" customFormat="false" ht="15" hidden="false" customHeight="false" outlineLevel="0" collapsed="false">
      <c r="E34" s="8" t="s">
        <v>44</v>
      </c>
      <c r="F34" s="16" t="str">
        <f aca="false">INDEX(E24:E33,MATCH(1,G24:G33,0))</f>
        <v>Laptop</v>
      </c>
    </row>
  </sheetData>
  <conditionalFormatting sqref="F6:F9">
    <cfRule type="dataBar" priority="2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{8315DE38-B981-4710-A63D-86286C20E336}</x14:id>
        </ext>
      </extLst>
    </cfRule>
  </conditionalFormatting>
  <conditionalFormatting sqref="C16:C26">
    <cfRule type="cellIs" priority="3" operator="lessThan" aboveAverage="0" equalAverage="0" bottom="0" percent="0" rank="0" text="" dxfId="0">
      <formula>0</formula>
    </cfRule>
    <cfRule type="cellIs" priority="4" operator="greaterThan" aboveAverage="0" equalAverage="0" bottom="0" percent="0" rank="0" text="" dxfId="1">
      <formula>0</formula>
    </cfRule>
  </conditionalFormatting>
  <conditionalFormatting sqref="G15:G18">
    <cfRule type="colorScale" priority="5">
      <colorScale>
        <cfvo type="min" val="0"/>
        <cfvo type="max" val="0"/>
        <color rgb="FFFFFFFF"/>
        <color rgb="FF63BE7B"/>
      </colorScale>
    </cfRule>
  </conditionalFormatting>
  <conditionalFormatting sqref="G24:G33">
    <cfRule type="cellIs" priority="6" operator="lessThanOrEqual" aboveAverage="0" equalAverage="0" bottom="0" percent="0" rank="0" text="" dxfId="2">
      <formula>3</formula>
    </cfRule>
  </conditionalFormatting>
  <dataValidations count="1">
    <dataValidation allowBlank="false" error="Choose All, North, South, East or West" errorStyle="stop" errorTitle="Invalid region" operator="between" showDropDown="false" showErrorMessage="false" showInputMessage="false" sqref="B3" type="list">
      <formula1>"All,North,South,East,West"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15DE38-B981-4710-A63D-86286C20E336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F6:F9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5"/>
  </cols>
  <sheetData>
    <row r="1" customFormat="false" ht="30" hidden="false" customHeight="true" outlineLevel="0" collapsed="false">
      <c r="A1" s="21" t="s">
        <v>45</v>
      </c>
      <c r="B1" s="21" t="s">
        <v>46</v>
      </c>
      <c r="C1" s="21" t="s">
        <v>7</v>
      </c>
      <c r="D1" s="21" t="s">
        <v>25</v>
      </c>
      <c r="E1" s="21" t="s">
        <v>32</v>
      </c>
      <c r="F1" s="21" t="s">
        <v>47</v>
      </c>
      <c r="G1" s="21" t="s">
        <v>48</v>
      </c>
      <c r="H1" s="21" t="s">
        <v>49</v>
      </c>
      <c r="I1" s="21" t="s">
        <v>8</v>
      </c>
    </row>
    <row r="2" customFormat="false" ht="15" hidden="false" customHeight="false" outlineLevel="0" collapsed="false">
      <c r="A2" s="22" t="s">
        <v>50</v>
      </c>
      <c r="B2" s="23" t="n">
        <v>45658</v>
      </c>
      <c r="C2" s="22" t="s">
        <v>17</v>
      </c>
      <c r="D2" s="22" t="s">
        <v>30</v>
      </c>
      <c r="E2" s="22" t="s">
        <v>43</v>
      </c>
      <c r="F2" s="24" t="n">
        <v>2</v>
      </c>
      <c r="G2" s="25" t="n">
        <v>3200</v>
      </c>
      <c r="H2" s="26" t="n">
        <v>0.1</v>
      </c>
      <c r="I2" s="27" t="n">
        <f aca="false">F2*G2*(1-H2)</f>
        <v>5760</v>
      </c>
    </row>
    <row r="3" customFormat="false" ht="15" hidden="false" customHeight="false" outlineLevel="0" collapsed="false">
      <c r="A3" s="22" t="s">
        <v>51</v>
      </c>
      <c r="B3" s="23" t="n">
        <v>45660</v>
      </c>
      <c r="C3" s="22" t="s">
        <v>17</v>
      </c>
      <c r="D3" s="22" t="s">
        <v>28</v>
      </c>
      <c r="E3" s="22" t="s">
        <v>38</v>
      </c>
      <c r="F3" s="24" t="n">
        <v>6</v>
      </c>
      <c r="G3" s="25" t="n">
        <v>18000</v>
      </c>
      <c r="H3" s="26" t="n">
        <v>0</v>
      </c>
      <c r="I3" s="27" t="n">
        <f aca="false">F3*G3*(1-H3)</f>
        <v>108000</v>
      </c>
    </row>
    <row r="4" customFormat="false" ht="15" hidden="false" customHeight="false" outlineLevel="0" collapsed="false">
      <c r="A4" s="22" t="s">
        <v>52</v>
      </c>
      <c r="B4" s="23" t="n">
        <v>45661</v>
      </c>
      <c r="C4" s="22" t="s">
        <v>17</v>
      </c>
      <c r="D4" s="22" t="s">
        <v>30</v>
      </c>
      <c r="E4" s="22" t="s">
        <v>42</v>
      </c>
      <c r="F4" s="24" t="n">
        <v>9</v>
      </c>
      <c r="G4" s="25" t="n">
        <v>900</v>
      </c>
      <c r="H4" s="26" t="n">
        <v>0.15</v>
      </c>
      <c r="I4" s="27" t="n">
        <f aca="false">F4*G4*(1-H4)</f>
        <v>6885</v>
      </c>
    </row>
    <row r="5" customFormat="false" ht="15" hidden="false" customHeight="false" outlineLevel="0" collapsed="false">
      <c r="A5" s="22" t="s">
        <v>53</v>
      </c>
      <c r="B5" s="23" t="n">
        <v>45662</v>
      </c>
      <c r="C5" s="22" t="s">
        <v>11</v>
      </c>
      <c r="D5" s="22" t="s">
        <v>29</v>
      </c>
      <c r="E5" s="22" t="s">
        <v>39</v>
      </c>
      <c r="F5" s="24" t="n">
        <v>5</v>
      </c>
      <c r="G5" s="25" t="n">
        <v>1200</v>
      </c>
      <c r="H5" s="26" t="n">
        <v>0.05</v>
      </c>
      <c r="I5" s="27" t="n">
        <f aca="false">F5*G5*(1-H5)</f>
        <v>5700</v>
      </c>
    </row>
    <row r="6" customFormat="false" ht="15" hidden="false" customHeight="false" outlineLevel="0" collapsed="false">
      <c r="A6" s="22" t="s">
        <v>54</v>
      </c>
      <c r="B6" s="23" t="n">
        <v>45663</v>
      </c>
      <c r="C6" s="22" t="s">
        <v>13</v>
      </c>
      <c r="D6" s="22" t="s">
        <v>27</v>
      </c>
      <c r="E6" s="22" t="s">
        <v>34</v>
      </c>
      <c r="F6" s="24" t="n">
        <v>9</v>
      </c>
      <c r="G6" s="25" t="n">
        <v>55000</v>
      </c>
      <c r="H6" s="26" t="n">
        <v>0.05</v>
      </c>
      <c r="I6" s="27" t="n">
        <f aca="false">F6*G6*(1-H6)</f>
        <v>470250</v>
      </c>
    </row>
    <row r="7" customFormat="false" ht="15" hidden="false" customHeight="false" outlineLevel="0" collapsed="false">
      <c r="A7" s="22" t="s">
        <v>55</v>
      </c>
      <c r="B7" s="23" t="n">
        <v>45663</v>
      </c>
      <c r="C7" s="22" t="s">
        <v>15</v>
      </c>
      <c r="D7" s="22" t="s">
        <v>30</v>
      </c>
      <c r="E7" s="22" t="s">
        <v>42</v>
      </c>
      <c r="F7" s="24" t="n">
        <v>6</v>
      </c>
      <c r="G7" s="25" t="n">
        <v>900</v>
      </c>
      <c r="H7" s="26" t="n">
        <v>0</v>
      </c>
      <c r="I7" s="27" t="n">
        <f aca="false">F7*G7*(1-H7)</f>
        <v>5400</v>
      </c>
    </row>
    <row r="8" customFormat="false" ht="15" hidden="false" customHeight="false" outlineLevel="0" collapsed="false">
      <c r="A8" s="22" t="s">
        <v>56</v>
      </c>
      <c r="B8" s="23" t="n">
        <v>45667</v>
      </c>
      <c r="C8" s="22" t="s">
        <v>15</v>
      </c>
      <c r="D8" s="22" t="s">
        <v>28</v>
      </c>
      <c r="E8" s="22" t="s">
        <v>37</v>
      </c>
      <c r="F8" s="24" t="n">
        <v>7</v>
      </c>
      <c r="G8" s="25" t="n">
        <v>8500</v>
      </c>
      <c r="H8" s="26" t="n">
        <v>0.1</v>
      </c>
      <c r="I8" s="27" t="n">
        <f aca="false">F8*G8*(1-H8)</f>
        <v>53550</v>
      </c>
    </row>
    <row r="9" customFormat="false" ht="15" hidden="false" customHeight="false" outlineLevel="0" collapsed="false">
      <c r="A9" s="22" t="s">
        <v>57</v>
      </c>
      <c r="B9" s="23" t="n">
        <v>45667</v>
      </c>
      <c r="C9" s="22" t="s">
        <v>17</v>
      </c>
      <c r="D9" s="22" t="s">
        <v>28</v>
      </c>
      <c r="E9" s="22" t="s">
        <v>37</v>
      </c>
      <c r="F9" s="24" t="n">
        <v>3</v>
      </c>
      <c r="G9" s="25" t="n">
        <v>8500</v>
      </c>
      <c r="H9" s="26" t="n">
        <v>0.05</v>
      </c>
      <c r="I9" s="27" t="n">
        <f aca="false">F9*G9*(1-H9)</f>
        <v>24225</v>
      </c>
    </row>
    <row r="10" customFormat="false" ht="15" hidden="false" customHeight="false" outlineLevel="0" collapsed="false">
      <c r="A10" s="22" t="s">
        <v>58</v>
      </c>
      <c r="B10" s="23" t="n">
        <v>45669</v>
      </c>
      <c r="C10" s="22" t="s">
        <v>13</v>
      </c>
      <c r="D10" s="22" t="s">
        <v>27</v>
      </c>
      <c r="E10" s="22" t="s">
        <v>36</v>
      </c>
      <c r="F10" s="24" t="n">
        <v>2</v>
      </c>
      <c r="G10" s="25" t="n">
        <v>3500</v>
      </c>
      <c r="H10" s="26" t="n">
        <v>0.1</v>
      </c>
      <c r="I10" s="27" t="n">
        <f aca="false">F10*G10*(1-H10)</f>
        <v>6300</v>
      </c>
    </row>
    <row r="11" customFormat="false" ht="15" hidden="false" customHeight="false" outlineLevel="0" collapsed="false">
      <c r="A11" s="22" t="s">
        <v>59</v>
      </c>
      <c r="B11" s="23" t="n">
        <v>45669</v>
      </c>
      <c r="C11" s="22" t="s">
        <v>17</v>
      </c>
      <c r="D11" s="22" t="s">
        <v>27</v>
      </c>
      <c r="E11" s="22" t="s">
        <v>35</v>
      </c>
      <c r="F11" s="24" t="n">
        <v>6</v>
      </c>
      <c r="G11" s="25" t="n">
        <v>24000</v>
      </c>
      <c r="H11" s="26" t="n">
        <v>0</v>
      </c>
      <c r="I11" s="27" t="n">
        <f aca="false">F11*G11*(1-H11)</f>
        <v>144000</v>
      </c>
    </row>
    <row r="12" customFormat="false" ht="15" hidden="false" customHeight="false" outlineLevel="0" collapsed="false">
      <c r="A12" s="22" t="s">
        <v>60</v>
      </c>
      <c r="B12" s="23" t="n">
        <v>45671</v>
      </c>
      <c r="C12" s="22" t="s">
        <v>13</v>
      </c>
      <c r="D12" s="22" t="s">
        <v>27</v>
      </c>
      <c r="E12" s="22" t="s">
        <v>35</v>
      </c>
      <c r="F12" s="24" t="n">
        <v>8</v>
      </c>
      <c r="G12" s="25" t="n">
        <v>24000</v>
      </c>
      <c r="H12" s="26" t="n">
        <v>0</v>
      </c>
      <c r="I12" s="27" t="n">
        <f aca="false">F12*G12*(1-H12)</f>
        <v>192000</v>
      </c>
    </row>
    <row r="13" customFormat="false" ht="15" hidden="false" customHeight="false" outlineLevel="0" collapsed="false">
      <c r="A13" s="22" t="s">
        <v>61</v>
      </c>
      <c r="B13" s="23" t="n">
        <v>45671</v>
      </c>
      <c r="C13" s="22" t="s">
        <v>11</v>
      </c>
      <c r="D13" s="22" t="s">
        <v>29</v>
      </c>
      <c r="E13" s="22" t="s">
        <v>39</v>
      </c>
      <c r="F13" s="24" t="n">
        <v>11</v>
      </c>
      <c r="G13" s="25" t="n">
        <v>1200</v>
      </c>
      <c r="H13" s="26" t="n">
        <v>0.05</v>
      </c>
      <c r="I13" s="27" t="n">
        <f aca="false">F13*G13*(1-H13)</f>
        <v>12540</v>
      </c>
    </row>
    <row r="14" customFormat="false" ht="15" hidden="false" customHeight="false" outlineLevel="0" collapsed="false">
      <c r="A14" s="22" t="s">
        <v>62</v>
      </c>
      <c r="B14" s="23" t="n">
        <v>45672</v>
      </c>
      <c r="C14" s="22" t="s">
        <v>15</v>
      </c>
      <c r="D14" s="22" t="s">
        <v>30</v>
      </c>
      <c r="E14" s="22" t="s">
        <v>42</v>
      </c>
      <c r="F14" s="24" t="n">
        <v>5</v>
      </c>
      <c r="G14" s="25" t="n">
        <v>900</v>
      </c>
      <c r="H14" s="26" t="n">
        <v>0.1</v>
      </c>
      <c r="I14" s="27" t="n">
        <f aca="false">F14*G14*(1-H14)</f>
        <v>4050</v>
      </c>
    </row>
    <row r="15" customFormat="false" ht="15" hidden="false" customHeight="false" outlineLevel="0" collapsed="false">
      <c r="A15" s="22" t="s">
        <v>63</v>
      </c>
      <c r="B15" s="23" t="n">
        <v>45674</v>
      </c>
      <c r="C15" s="22" t="s">
        <v>13</v>
      </c>
      <c r="D15" s="22" t="s">
        <v>28</v>
      </c>
      <c r="E15" s="22" t="s">
        <v>38</v>
      </c>
      <c r="F15" s="24" t="n">
        <v>5</v>
      </c>
      <c r="G15" s="25" t="n">
        <v>18000</v>
      </c>
      <c r="H15" s="26" t="n">
        <v>0</v>
      </c>
      <c r="I15" s="27" t="n">
        <f aca="false">F15*G15*(1-H15)</f>
        <v>90000</v>
      </c>
    </row>
    <row r="16" customFormat="false" ht="15" hidden="false" customHeight="false" outlineLevel="0" collapsed="false">
      <c r="A16" s="22" t="s">
        <v>64</v>
      </c>
      <c r="B16" s="23" t="n">
        <v>45674</v>
      </c>
      <c r="C16" s="22" t="s">
        <v>13</v>
      </c>
      <c r="D16" s="22" t="s">
        <v>27</v>
      </c>
      <c r="E16" s="22" t="s">
        <v>36</v>
      </c>
      <c r="F16" s="24" t="n">
        <v>9</v>
      </c>
      <c r="G16" s="25" t="n">
        <v>3500</v>
      </c>
      <c r="H16" s="26" t="n">
        <v>0.1</v>
      </c>
      <c r="I16" s="27" t="n">
        <f aca="false">F16*G16*(1-H16)</f>
        <v>28350</v>
      </c>
    </row>
    <row r="17" customFormat="false" ht="15" hidden="false" customHeight="false" outlineLevel="0" collapsed="false">
      <c r="A17" s="22" t="s">
        <v>65</v>
      </c>
      <c r="B17" s="23" t="n">
        <v>45675</v>
      </c>
      <c r="C17" s="22" t="s">
        <v>15</v>
      </c>
      <c r="D17" s="22" t="s">
        <v>27</v>
      </c>
      <c r="E17" s="22" t="s">
        <v>35</v>
      </c>
      <c r="F17" s="24" t="n">
        <v>4</v>
      </c>
      <c r="G17" s="25" t="n">
        <v>24000</v>
      </c>
      <c r="H17" s="26" t="n">
        <v>0.05</v>
      </c>
      <c r="I17" s="27" t="n">
        <f aca="false">F17*G17*(1-H17)</f>
        <v>91200</v>
      </c>
    </row>
    <row r="18" customFormat="false" ht="15" hidden="false" customHeight="false" outlineLevel="0" collapsed="false">
      <c r="A18" s="22" t="s">
        <v>66</v>
      </c>
      <c r="B18" s="23" t="n">
        <v>45678</v>
      </c>
      <c r="C18" s="22" t="s">
        <v>13</v>
      </c>
      <c r="D18" s="22" t="s">
        <v>30</v>
      </c>
      <c r="E18" s="22" t="s">
        <v>41</v>
      </c>
      <c r="F18" s="24" t="n">
        <v>9</v>
      </c>
      <c r="G18" s="25" t="n">
        <v>2200</v>
      </c>
      <c r="H18" s="26" t="n">
        <v>0.05</v>
      </c>
      <c r="I18" s="27" t="n">
        <f aca="false">F18*G18*(1-H18)</f>
        <v>18810</v>
      </c>
    </row>
    <row r="19" customFormat="false" ht="15" hidden="false" customHeight="false" outlineLevel="0" collapsed="false">
      <c r="A19" s="22" t="s">
        <v>67</v>
      </c>
      <c r="B19" s="23" t="n">
        <v>45679</v>
      </c>
      <c r="C19" s="22" t="s">
        <v>13</v>
      </c>
      <c r="D19" s="22" t="s">
        <v>30</v>
      </c>
      <c r="E19" s="22" t="s">
        <v>43</v>
      </c>
      <c r="F19" s="24" t="n">
        <v>6</v>
      </c>
      <c r="G19" s="25" t="n">
        <v>3200</v>
      </c>
      <c r="H19" s="26" t="n">
        <v>0</v>
      </c>
      <c r="I19" s="27" t="n">
        <f aca="false">F19*G19*(1-H19)</f>
        <v>19200</v>
      </c>
    </row>
    <row r="20" customFormat="false" ht="15" hidden="false" customHeight="false" outlineLevel="0" collapsed="false">
      <c r="A20" s="22" t="s">
        <v>68</v>
      </c>
      <c r="B20" s="23" t="n">
        <v>45681</v>
      </c>
      <c r="C20" s="22" t="s">
        <v>15</v>
      </c>
      <c r="D20" s="22" t="s">
        <v>30</v>
      </c>
      <c r="E20" s="22" t="s">
        <v>43</v>
      </c>
      <c r="F20" s="24" t="n">
        <v>5</v>
      </c>
      <c r="G20" s="25" t="n">
        <v>3200</v>
      </c>
      <c r="H20" s="26" t="n">
        <v>0.05</v>
      </c>
      <c r="I20" s="27" t="n">
        <f aca="false">F20*G20*(1-H20)</f>
        <v>15200</v>
      </c>
    </row>
    <row r="21" customFormat="false" ht="15" hidden="false" customHeight="false" outlineLevel="0" collapsed="false">
      <c r="A21" s="22" t="s">
        <v>69</v>
      </c>
      <c r="B21" s="23" t="n">
        <v>45683</v>
      </c>
      <c r="C21" s="22" t="s">
        <v>13</v>
      </c>
      <c r="D21" s="22" t="s">
        <v>27</v>
      </c>
      <c r="E21" s="22" t="s">
        <v>35</v>
      </c>
      <c r="F21" s="24" t="n">
        <v>8</v>
      </c>
      <c r="G21" s="25" t="n">
        <v>24000</v>
      </c>
      <c r="H21" s="26" t="n">
        <v>0.1</v>
      </c>
      <c r="I21" s="27" t="n">
        <f aca="false">F21*G21*(1-H21)</f>
        <v>172800</v>
      </c>
    </row>
    <row r="22" customFormat="false" ht="15" hidden="false" customHeight="false" outlineLevel="0" collapsed="false">
      <c r="A22" s="22" t="s">
        <v>70</v>
      </c>
      <c r="B22" s="23" t="n">
        <v>45686</v>
      </c>
      <c r="C22" s="22" t="s">
        <v>17</v>
      </c>
      <c r="D22" s="22" t="s">
        <v>30</v>
      </c>
      <c r="E22" s="22" t="s">
        <v>42</v>
      </c>
      <c r="F22" s="24" t="n">
        <v>12</v>
      </c>
      <c r="G22" s="25" t="n">
        <v>900</v>
      </c>
      <c r="H22" s="26" t="n">
        <v>0</v>
      </c>
      <c r="I22" s="27" t="n">
        <f aca="false">F22*G22*(1-H22)</f>
        <v>10800</v>
      </c>
    </row>
    <row r="23" customFormat="false" ht="15" hidden="false" customHeight="false" outlineLevel="0" collapsed="false">
      <c r="A23" s="22" t="s">
        <v>71</v>
      </c>
      <c r="B23" s="23" t="n">
        <v>45688</v>
      </c>
      <c r="C23" s="22" t="s">
        <v>13</v>
      </c>
      <c r="D23" s="22" t="s">
        <v>30</v>
      </c>
      <c r="E23" s="22" t="s">
        <v>41</v>
      </c>
      <c r="F23" s="24" t="n">
        <v>6</v>
      </c>
      <c r="G23" s="25" t="n">
        <v>2200</v>
      </c>
      <c r="H23" s="26" t="n">
        <v>0.05</v>
      </c>
      <c r="I23" s="27" t="n">
        <f aca="false">F23*G23*(1-H23)</f>
        <v>12540</v>
      </c>
    </row>
    <row r="24" customFormat="false" ht="15" hidden="false" customHeight="false" outlineLevel="0" collapsed="false">
      <c r="A24" s="22" t="s">
        <v>72</v>
      </c>
      <c r="B24" s="23" t="n">
        <v>45690</v>
      </c>
      <c r="C24" s="22" t="s">
        <v>17</v>
      </c>
      <c r="D24" s="22" t="s">
        <v>30</v>
      </c>
      <c r="E24" s="22" t="s">
        <v>43</v>
      </c>
      <c r="F24" s="24" t="n">
        <v>2</v>
      </c>
      <c r="G24" s="25" t="n">
        <v>3200</v>
      </c>
      <c r="H24" s="26" t="n">
        <v>0.05</v>
      </c>
      <c r="I24" s="27" t="n">
        <f aca="false">F24*G24*(1-H24)</f>
        <v>6080</v>
      </c>
    </row>
    <row r="25" customFormat="false" ht="15" hidden="false" customHeight="false" outlineLevel="0" collapsed="false">
      <c r="A25" s="22" t="s">
        <v>73</v>
      </c>
      <c r="B25" s="23" t="n">
        <v>45693</v>
      </c>
      <c r="C25" s="22" t="s">
        <v>17</v>
      </c>
      <c r="D25" s="22" t="s">
        <v>27</v>
      </c>
      <c r="E25" s="22" t="s">
        <v>36</v>
      </c>
      <c r="F25" s="24" t="n">
        <v>9</v>
      </c>
      <c r="G25" s="25" t="n">
        <v>3500</v>
      </c>
      <c r="H25" s="26" t="n">
        <v>0</v>
      </c>
      <c r="I25" s="27" t="n">
        <f aca="false">F25*G25*(1-H25)</f>
        <v>31500</v>
      </c>
    </row>
    <row r="26" customFormat="false" ht="15" hidden="false" customHeight="false" outlineLevel="0" collapsed="false">
      <c r="A26" s="22" t="s">
        <v>74</v>
      </c>
      <c r="B26" s="23" t="n">
        <v>45695</v>
      </c>
      <c r="C26" s="22" t="s">
        <v>17</v>
      </c>
      <c r="D26" s="22" t="s">
        <v>30</v>
      </c>
      <c r="E26" s="22" t="s">
        <v>41</v>
      </c>
      <c r="F26" s="24" t="n">
        <v>12</v>
      </c>
      <c r="G26" s="25" t="n">
        <v>2200</v>
      </c>
      <c r="H26" s="26" t="n">
        <v>0.05</v>
      </c>
      <c r="I26" s="27" t="n">
        <f aca="false">F26*G26*(1-H26)</f>
        <v>25080</v>
      </c>
    </row>
    <row r="27" customFormat="false" ht="15" hidden="false" customHeight="false" outlineLevel="0" collapsed="false">
      <c r="A27" s="22" t="s">
        <v>75</v>
      </c>
      <c r="B27" s="23" t="n">
        <v>45696</v>
      </c>
      <c r="C27" s="22" t="s">
        <v>11</v>
      </c>
      <c r="D27" s="22" t="s">
        <v>27</v>
      </c>
      <c r="E27" s="22" t="s">
        <v>36</v>
      </c>
      <c r="F27" s="24" t="n">
        <v>5</v>
      </c>
      <c r="G27" s="25" t="n">
        <v>3500</v>
      </c>
      <c r="H27" s="26" t="n">
        <v>0</v>
      </c>
      <c r="I27" s="27" t="n">
        <f aca="false">F27*G27*(1-H27)</f>
        <v>17500</v>
      </c>
    </row>
    <row r="28" customFormat="false" ht="15" hidden="false" customHeight="false" outlineLevel="0" collapsed="false">
      <c r="A28" s="22" t="s">
        <v>76</v>
      </c>
      <c r="B28" s="23" t="n">
        <v>45697</v>
      </c>
      <c r="C28" s="22" t="s">
        <v>13</v>
      </c>
      <c r="D28" s="22" t="s">
        <v>28</v>
      </c>
      <c r="E28" s="22" t="s">
        <v>38</v>
      </c>
      <c r="F28" s="24" t="n">
        <v>10</v>
      </c>
      <c r="G28" s="25" t="n">
        <v>18000</v>
      </c>
      <c r="H28" s="26" t="n">
        <v>0</v>
      </c>
      <c r="I28" s="27" t="n">
        <f aca="false">F28*G28*(1-H28)</f>
        <v>180000</v>
      </c>
    </row>
    <row r="29" customFormat="false" ht="15" hidden="false" customHeight="false" outlineLevel="0" collapsed="false">
      <c r="A29" s="22" t="s">
        <v>77</v>
      </c>
      <c r="B29" s="23" t="n">
        <v>45698</v>
      </c>
      <c r="C29" s="22" t="s">
        <v>17</v>
      </c>
      <c r="D29" s="22" t="s">
        <v>30</v>
      </c>
      <c r="E29" s="22" t="s">
        <v>43</v>
      </c>
      <c r="F29" s="24" t="n">
        <v>6</v>
      </c>
      <c r="G29" s="25" t="n">
        <v>3200</v>
      </c>
      <c r="H29" s="26" t="n">
        <v>0</v>
      </c>
      <c r="I29" s="27" t="n">
        <f aca="false">F29*G29*(1-H29)</f>
        <v>19200</v>
      </c>
    </row>
    <row r="30" customFormat="false" ht="15" hidden="false" customHeight="false" outlineLevel="0" collapsed="false">
      <c r="A30" s="22" t="s">
        <v>78</v>
      </c>
      <c r="B30" s="23" t="n">
        <v>45702</v>
      </c>
      <c r="C30" s="22" t="s">
        <v>15</v>
      </c>
      <c r="D30" s="22" t="s">
        <v>28</v>
      </c>
      <c r="E30" s="22" t="s">
        <v>38</v>
      </c>
      <c r="F30" s="24" t="n">
        <v>1</v>
      </c>
      <c r="G30" s="25" t="n">
        <v>18000</v>
      </c>
      <c r="H30" s="26" t="n">
        <v>0.05</v>
      </c>
      <c r="I30" s="27" t="n">
        <f aca="false">F30*G30*(1-H30)</f>
        <v>17100</v>
      </c>
    </row>
    <row r="31" customFormat="false" ht="15" hidden="false" customHeight="false" outlineLevel="0" collapsed="false">
      <c r="A31" s="22" t="s">
        <v>79</v>
      </c>
      <c r="B31" s="23" t="n">
        <v>45706</v>
      </c>
      <c r="C31" s="22" t="s">
        <v>15</v>
      </c>
      <c r="D31" s="22" t="s">
        <v>29</v>
      </c>
      <c r="E31" s="22" t="s">
        <v>40</v>
      </c>
      <c r="F31" s="24" t="n">
        <v>2</v>
      </c>
      <c r="G31" s="25" t="n">
        <v>450</v>
      </c>
      <c r="H31" s="26" t="n">
        <v>0.1</v>
      </c>
      <c r="I31" s="27" t="n">
        <f aca="false">F31*G31*(1-H31)</f>
        <v>810</v>
      </c>
    </row>
    <row r="32" customFormat="false" ht="15" hidden="false" customHeight="false" outlineLevel="0" collapsed="false">
      <c r="A32" s="22" t="s">
        <v>80</v>
      </c>
      <c r="B32" s="23" t="n">
        <v>45706</v>
      </c>
      <c r="C32" s="22" t="s">
        <v>17</v>
      </c>
      <c r="D32" s="22" t="s">
        <v>27</v>
      </c>
      <c r="E32" s="22" t="s">
        <v>36</v>
      </c>
      <c r="F32" s="24" t="n">
        <v>9</v>
      </c>
      <c r="G32" s="25" t="n">
        <v>3500</v>
      </c>
      <c r="H32" s="26" t="n">
        <v>0.15</v>
      </c>
      <c r="I32" s="27" t="n">
        <f aca="false">F32*G32*(1-H32)</f>
        <v>26775</v>
      </c>
    </row>
    <row r="33" customFormat="false" ht="15" hidden="false" customHeight="false" outlineLevel="0" collapsed="false">
      <c r="A33" s="22" t="s">
        <v>81</v>
      </c>
      <c r="B33" s="23" t="n">
        <v>45706</v>
      </c>
      <c r="C33" s="22" t="s">
        <v>13</v>
      </c>
      <c r="D33" s="22" t="s">
        <v>27</v>
      </c>
      <c r="E33" s="22" t="s">
        <v>36</v>
      </c>
      <c r="F33" s="24" t="n">
        <v>10</v>
      </c>
      <c r="G33" s="25" t="n">
        <v>3500</v>
      </c>
      <c r="H33" s="26" t="n">
        <v>0.05</v>
      </c>
      <c r="I33" s="27" t="n">
        <f aca="false">F33*G33*(1-H33)</f>
        <v>33250</v>
      </c>
    </row>
    <row r="34" customFormat="false" ht="15" hidden="false" customHeight="false" outlineLevel="0" collapsed="false">
      <c r="A34" s="22" t="s">
        <v>82</v>
      </c>
      <c r="B34" s="23" t="n">
        <v>45708</v>
      </c>
      <c r="C34" s="22" t="s">
        <v>11</v>
      </c>
      <c r="D34" s="22" t="s">
        <v>30</v>
      </c>
      <c r="E34" s="22" t="s">
        <v>41</v>
      </c>
      <c r="F34" s="24" t="n">
        <v>11</v>
      </c>
      <c r="G34" s="25" t="n">
        <v>2200</v>
      </c>
      <c r="H34" s="26" t="n">
        <v>0</v>
      </c>
      <c r="I34" s="27" t="n">
        <f aca="false">F34*G34*(1-H34)</f>
        <v>24200</v>
      </c>
    </row>
    <row r="35" customFormat="false" ht="15" hidden="false" customHeight="false" outlineLevel="0" collapsed="false">
      <c r="A35" s="22" t="s">
        <v>83</v>
      </c>
      <c r="B35" s="23" t="n">
        <v>45711</v>
      </c>
      <c r="C35" s="22" t="s">
        <v>11</v>
      </c>
      <c r="D35" s="22" t="s">
        <v>30</v>
      </c>
      <c r="E35" s="22" t="s">
        <v>43</v>
      </c>
      <c r="F35" s="24" t="n">
        <v>5</v>
      </c>
      <c r="G35" s="25" t="n">
        <v>3200</v>
      </c>
      <c r="H35" s="26" t="n">
        <v>0.05</v>
      </c>
      <c r="I35" s="27" t="n">
        <f aca="false">F35*G35*(1-H35)</f>
        <v>15200</v>
      </c>
    </row>
    <row r="36" customFormat="false" ht="15" hidden="false" customHeight="false" outlineLevel="0" collapsed="false">
      <c r="A36" s="22" t="s">
        <v>84</v>
      </c>
      <c r="B36" s="23" t="n">
        <v>45712</v>
      </c>
      <c r="C36" s="22" t="s">
        <v>15</v>
      </c>
      <c r="D36" s="22" t="s">
        <v>29</v>
      </c>
      <c r="E36" s="22" t="s">
        <v>39</v>
      </c>
      <c r="F36" s="24" t="n">
        <v>10</v>
      </c>
      <c r="G36" s="25" t="n">
        <v>1200</v>
      </c>
      <c r="H36" s="26" t="n">
        <v>0.1</v>
      </c>
      <c r="I36" s="27" t="n">
        <f aca="false">F36*G36*(1-H36)</f>
        <v>10800</v>
      </c>
    </row>
    <row r="37" customFormat="false" ht="15" hidden="false" customHeight="false" outlineLevel="0" collapsed="false">
      <c r="A37" s="22" t="s">
        <v>85</v>
      </c>
      <c r="B37" s="23" t="n">
        <v>45713</v>
      </c>
      <c r="C37" s="22" t="s">
        <v>17</v>
      </c>
      <c r="D37" s="22" t="s">
        <v>29</v>
      </c>
      <c r="E37" s="22" t="s">
        <v>40</v>
      </c>
      <c r="F37" s="24" t="n">
        <v>6</v>
      </c>
      <c r="G37" s="25" t="n">
        <v>450</v>
      </c>
      <c r="H37" s="26" t="n">
        <v>0.05</v>
      </c>
      <c r="I37" s="27" t="n">
        <f aca="false">F37*G37*(1-H37)</f>
        <v>2565</v>
      </c>
    </row>
    <row r="38" customFormat="false" ht="15" hidden="false" customHeight="false" outlineLevel="0" collapsed="false">
      <c r="A38" s="22" t="s">
        <v>86</v>
      </c>
      <c r="B38" s="23" t="n">
        <v>45714</v>
      </c>
      <c r="C38" s="22" t="s">
        <v>17</v>
      </c>
      <c r="D38" s="22" t="s">
        <v>29</v>
      </c>
      <c r="E38" s="22" t="s">
        <v>40</v>
      </c>
      <c r="F38" s="24" t="n">
        <v>1</v>
      </c>
      <c r="G38" s="25" t="n">
        <v>450</v>
      </c>
      <c r="H38" s="26" t="n">
        <v>0.1</v>
      </c>
      <c r="I38" s="27" t="n">
        <f aca="false">F38*G38*(1-H38)</f>
        <v>405</v>
      </c>
    </row>
    <row r="39" customFormat="false" ht="15" hidden="false" customHeight="false" outlineLevel="0" collapsed="false">
      <c r="A39" s="22" t="s">
        <v>87</v>
      </c>
      <c r="B39" s="23" t="n">
        <v>45715</v>
      </c>
      <c r="C39" s="22" t="s">
        <v>11</v>
      </c>
      <c r="D39" s="22" t="s">
        <v>27</v>
      </c>
      <c r="E39" s="22" t="s">
        <v>35</v>
      </c>
      <c r="F39" s="24" t="n">
        <v>8</v>
      </c>
      <c r="G39" s="25" t="n">
        <v>24000</v>
      </c>
      <c r="H39" s="26" t="n">
        <v>0.05</v>
      </c>
      <c r="I39" s="27" t="n">
        <f aca="false">F39*G39*(1-H39)</f>
        <v>182400</v>
      </c>
    </row>
    <row r="40" customFormat="false" ht="15" hidden="false" customHeight="false" outlineLevel="0" collapsed="false">
      <c r="A40" s="22" t="s">
        <v>88</v>
      </c>
      <c r="B40" s="23" t="n">
        <v>45716</v>
      </c>
      <c r="C40" s="22" t="s">
        <v>15</v>
      </c>
      <c r="D40" s="22" t="s">
        <v>29</v>
      </c>
      <c r="E40" s="22" t="s">
        <v>40</v>
      </c>
      <c r="F40" s="24" t="n">
        <v>8</v>
      </c>
      <c r="G40" s="25" t="n">
        <v>450</v>
      </c>
      <c r="H40" s="26" t="n">
        <v>0.15</v>
      </c>
      <c r="I40" s="27" t="n">
        <f aca="false">F40*G40*(1-H40)</f>
        <v>3060</v>
      </c>
    </row>
    <row r="41" customFormat="false" ht="15" hidden="false" customHeight="false" outlineLevel="0" collapsed="false">
      <c r="A41" s="22" t="s">
        <v>89</v>
      </c>
      <c r="B41" s="23" t="n">
        <v>45721</v>
      </c>
      <c r="C41" s="22" t="s">
        <v>13</v>
      </c>
      <c r="D41" s="22" t="s">
        <v>28</v>
      </c>
      <c r="E41" s="22" t="s">
        <v>38</v>
      </c>
      <c r="F41" s="24" t="n">
        <v>4</v>
      </c>
      <c r="G41" s="25" t="n">
        <v>18000</v>
      </c>
      <c r="H41" s="26" t="n">
        <v>0.05</v>
      </c>
      <c r="I41" s="27" t="n">
        <f aca="false">F41*G41*(1-H41)</f>
        <v>68400</v>
      </c>
    </row>
    <row r="42" customFormat="false" ht="15" hidden="false" customHeight="false" outlineLevel="0" collapsed="false">
      <c r="A42" s="22" t="s">
        <v>90</v>
      </c>
      <c r="B42" s="23" t="n">
        <v>45723</v>
      </c>
      <c r="C42" s="22" t="s">
        <v>13</v>
      </c>
      <c r="D42" s="22" t="s">
        <v>27</v>
      </c>
      <c r="E42" s="22" t="s">
        <v>34</v>
      </c>
      <c r="F42" s="24" t="n">
        <v>1</v>
      </c>
      <c r="G42" s="25" t="n">
        <v>55000</v>
      </c>
      <c r="H42" s="26" t="n">
        <v>0.15</v>
      </c>
      <c r="I42" s="27" t="n">
        <f aca="false">F42*G42*(1-H42)</f>
        <v>46750</v>
      </c>
    </row>
    <row r="43" customFormat="false" ht="15" hidden="false" customHeight="false" outlineLevel="0" collapsed="false">
      <c r="A43" s="22" t="s">
        <v>91</v>
      </c>
      <c r="B43" s="23" t="n">
        <v>45724</v>
      </c>
      <c r="C43" s="22" t="s">
        <v>17</v>
      </c>
      <c r="D43" s="22" t="s">
        <v>27</v>
      </c>
      <c r="E43" s="22" t="s">
        <v>35</v>
      </c>
      <c r="F43" s="24" t="n">
        <v>2</v>
      </c>
      <c r="G43" s="25" t="n">
        <v>24000</v>
      </c>
      <c r="H43" s="26" t="n">
        <v>0</v>
      </c>
      <c r="I43" s="27" t="n">
        <f aca="false">F43*G43*(1-H43)</f>
        <v>48000</v>
      </c>
    </row>
    <row r="44" customFormat="false" ht="15" hidden="false" customHeight="false" outlineLevel="0" collapsed="false">
      <c r="A44" s="22" t="s">
        <v>92</v>
      </c>
      <c r="B44" s="23" t="n">
        <v>45724</v>
      </c>
      <c r="C44" s="22" t="s">
        <v>11</v>
      </c>
      <c r="D44" s="22" t="s">
        <v>27</v>
      </c>
      <c r="E44" s="22" t="s">
        <v>36</v>
      </c>
      <c r="F44" s="24" t="n">
        <v>3</v>
      </c>
      <c r="G44" s="25" t="n">
        <v>3500</v>
      </c>
      <c r="H44" s="26" t="n">
        <v>0</v>
      </c>
      <c r="I44" s="27" t="n">
        <f aca="false">F44*G44*(1-H44)</f>
        <v>10500</v>
      </c>
    </row>
    <row r="45" customFormat="false" ht="15" hidden="false" customHeight="false" outlineLevel="0" collapsed="false">
      <c r="A45" s="22" t="s">
        <v>93</v>
      </c>
      <c r="B45" s="23" t="n">
        <v>45726</v>
      </c>
      <c r="C45" s="22" t="s">
        <v>11</v>
      </c>
      <c r="D45" s="22" t="s">
        <v>28</v>
      </c>
      <c r="E45" s="22" t="s">
        <v>38</v>
      </c>
      <c r="F45" s="24" t="n">
        <v>2</v>
      </c>
      <c r="G45" s="25" t="n">
        <v>18000</v>
      </c>
      <c r="H45" s="26" t="n">
        <v>0.1</v>
      </c>
      <c r="I45" s="27" t="n">
        <f aca="false">F45*G45*(1-H45)</f>
        <v>32400</v>
      </c>
    </row>
    <row r="46" customFormat="false" ht="15" hidden="false" customHeight="false" outlineLevel="0" collapsed="false">
      <c r="A46" s="22" t="s">
        <v>94</v>
      </c>
      <c r="B46" s="23" t="n">
        <v>45730</v>
      </c>
      <c r="C46" s="22" t="s">
        <v>13</v>
      </c>
      <c r="D46" s="22" t="s">
        <v>30</v>
      </c>
      <c r="E46" s="22" t="s">
        <v>41</v>
      </c>
      <c r="F46" s="24" t="n">
        <v>4</v>
      </c>
      <c r="G46" s="25" t="n">
        <v>2200</v>
      </c>
      <c r="H46" s="26" t="n">
        <v>0.15</v>
      </c>
      <c r="I46" s="27" t="n">
        <f aca="false">F46*G46*(1-H46)</f>
        <v>7480</v>
      </c>
    </row>
    <row r="47" customFormat="false" ht="15" hidden="false" customHeight="false" outlineLevel="0" collapsed="false">
      <c r="A47" s="22" t="s">
        <v>95</v>
      </c>
      <c r="B47" s="23" t="n">
        <v>45730</v>
      </c>
      <c r="C47" s="22" t="s">
        <v>13</v>
      </c>
      <c r="D47" s="22" t="s">
        <v>29</v>
      </c>
      <c r="E47" s="22" t="s">
        <v>39</v>
      </c>
      <c r="F47" s="24" t="n">
        <v>9</v>
      </c>
      <c r="G47" s="25" t="n">
        <v>1200</v>
      </c>
      <c r="H47" s="26" t="n">
        <v>0</v>
      </c>
      <c r="I47" s="27" t="n">
        <f aca="false">F47*G47*(1-H47)</f>
        <v>10800</v>
      </c>
    </row>
    <row r="48" customFormat="false" ht="15" hidden="false" customHeight="false" outlineLevel="0" collapsed="false">
      <c r="A48" s="22" t="s">
        <v>96</v>
      </c>
      <c r="B48" s="23" t="n">
        <v>45731</v>
      </c>
      <c r="C48" s="22" t="s">
        <v>13</v>
      </c>
      <c r="D48" s="22" t="s">
        <v>28</v>
      </c>
      <c r="E48" s="22" t="s">
        <v>37</v>
      </c>
      <c r="F48" s="24" t="n">
        <v>2</v>
      </c>
      <c r="G48" s="25" t="n">
        <v>8500</v>
      </c>
      <c r="H48" s="26" t="n">
        <v>0.05</v>
      </c>
      <c r="I48" s="27" t="n">
        <f aca="false">F48*G48*(1-H48)</f>
        <v>16150</v>
      </c>
    </row>
    <row r="49" customFormat="false" ht="15" hidden="false" customHeight="false" outlineLevel="0" collapsed="false">
      <c r="A49" s="22" t="s">
        <v>97</v>
      </c>
      <c r="B49" s="23" t="n">
        <v>45732</v>
      </c>
      <c r="C49" s="22" t="s">
        <v>15</v>
      </c>
      <c r="D49" s="22" t="s">
        <v>27</v>
      </c>
      <c r="E49" s="22" t="s">
        <v>36</v>
      </c>
      <c r="F49" s="24" t="n">
        <v>2</v>
      </c>
      <c r="G49" s="25" t="n">
        <v>3500</v>
      </c>
      <c r="H49" s="26" t="n">
        <v>0.1</v>
      </c>
      <c r="I49" s="27" t="n">
        <f aca="false">F49*G49*(1-H49)</f>
        <v>6300</v>
      </c>
    </row>
    <row r="50" customFormat="false" ht="15" hidden="false" customHeight="false" outlineLevel="0" collapsed="false">
      <c r="A50" s="22" t="s">
        <v>98</v>
      </c>
      <c r="B50" s="23" t="n">
        <v>45733</v>
      </c>
      <c r="C50" s="22" t="s">
        <v>15</v>
      </c>
      <c r="D50" s="22" t="s">
        <v>29</v>
      </c>
      <c r="E50" s="22" t="s">
        <v>40</v>
      </c>
      <c r="F50" s="24" t="n">
        <v>10</v>
      </c>
      <c r="G50" s="25" t="n">
        <v>450</v>
      </c>
      <c r="H50" s="26" t="n">
        <v>0.1</v>
      </c>
      <c r="I50" s="27" t="n">
        <f aca="false">F50*G50*(1-H50)</f>
        <v>4050</v>
      </c>
    </row>
    <row r="51" customFormat="false" ht="15" hidden="false" customHeight="false" outlineLevel="0" collapsed="false">
      <c r="A51" s="22" t="s">
        <v>99</v>
      </c>
      <c r="B51" s="23" t="n">
        <v>45734</v>
      </c>
      <c r="C51" s="22" t="s">
        <v>13</v>
      </c>
      <c r="D51" s="22" t="s">
        <v>27</v>
      </c>
      <c r="E51" s="22" t="s">
        <v>34</v>
      </c>
      <c r="F51" s="24" t="n">
        <v>10</v>
      </c>
      <c r="G51" s="25" t="n">
        <v>55000</v>
      </c>
      <c r="H51" s="26" t="n">
        <v>0</v>
      </c>
      <c r="I51" s="27" t="n">
        <f aca="false">F51*G51*(1-H51)</f>
        <v>550000</v>
      </c>
    </row>
    <row r="52" customFormat="false" ht="15" hidden="false" customHeight="false" outlineLevel="0" collapsed="false">
      <c r="A52" s="22" t="s">
        <v>100</v>
      </c>
      <c r="B52" s="23" t="n">
        <v>45735</v>
      </c>
      <c r="C52" s="22" t="s">
        <v>15</v>
      </c>
      <c r="D52" s="22" t="s">
        <v>27</v>
      </c>
      <c r="E52" s="22" t="s">
        <v>36</v>
      </c>
      <c r="F52" s="24" t="n">
        <v>5</v>
      </c>
      <c r="G52" s="25" t="n">
        <v>3500</v>
      </c>
      <c r="H52" s="26" t="n">
        <v>0.05</v>
      </c>
      <c r="I52" s="27" t="n">
        <f aca="false">F52*G52*(1-H52)</f>
        <v>16625</v>
      </c>
    </row>
    <row r="53" customFormat="false" ht="15" hidden="false" customHeight="false" outlineLevel="0" collapsed="false">
      <c r="A53" s="22" t="s">
        <v>101</v>
      </c>
      <c r="B53" s="23" t="n">
        <v>45736</v>
      </c>
      <c r="C53" s="22" t="s">
        <v>15</v>
      </c>
      <c r="D53" s="22" t="s">
        <v>30</v>
      </c>
      <c r="E53" s="22" t="s">
        <v>43</v>
      </c>
      <c r="F53" s="24" t="n">
        <v>7</v>
      </c>
      <c r="G53" s="25" t="n">
        <v>3200</v>
      </c>
      <c r="H53" s="26" t="n">
        <v>0.05</v>
      </c>
      <c r="I53" s="27" t="n">
        <f aca="false">F53*G53*(1-H53)</f>
        <v>21280</v>
      </c>
    </row>
    <row r="54" customFormat="false" ht="15" hidden="false" customHeight="false" outlineLevel="0" collapsed="false">
      <c r="A54" s="22" t="s">
        <v>102</v>
      </c>
      <c r="B54" s="23" t="n">
        <v>45738</v>
      </c>
      <c r="C54" s="22" t="s">
        <v>15</v>
      </c>
      <c r="D54" s="22" t="s">
        <v>29</v>
      </c>
      <c r="E54" s="22" t="s">
        <v>39</v>
      </c>
      <c r="F54" s="24" t="n">
        <v>5</v>
      </c>
      <c r="G54" s="25" t="n">
        <v>1200</v>
      </c>
      <c r="H54" s="26" t="n">
        <v>0.05</v>
      </c>
      <c r="I54" s="27" t="n">
        <f aca="false">F54*G54*(1-H54)</f>
        <v>5700</v>
      </c>
    </row>
    <row r="55" customFormat="false" ht="15" hidden="false" customHeight="false" outlineLevel="0" collapsed="false">
      <c r="A55" s="22" t="s">
        <v>103</v>
      </c>
      <c r="B55" s="23" t="n">
        <v>45739</v>
      </c>
      <c r="C55" s="22" t="s">
        <v>15</v>
      </c>
      <c r="D55" s="22" t="s">
        <v>30</v>
      </c>
      <c r="E55" s="22" t="s">
        <v>42</v>
      </c>
      <c r="F55" s="24" t="n">
        <v>1</v>
      </c>
      <c r="G55" s="25" t="n">
        <v>900</v>
      </c>
      <c r="H55" s="26" t="n">
        <v>0.05</v>
      </c>
      <c r="I55" s="27" t="n">
        <f aca="false">F55*G55*(1-H55)</f>
        <v>855</v>
      </c>
    </row>
    <row r="56" customFormat="false" ht="15" hidden="false" customHeight="false" outlineLevel="0" collapsed="false">
      <c r="A56" s="22" t="s">
        <v>104</v>
      </c>
      <c r="B56" s="23" t="n">
        <v>45742</v>
      </c>
      <c r="C56" s="22" t="s">
        <v>17</v>
      </c>
      <c r="D56" s="22" t="s">
        <v>29</v>
      </c>
      <c r="E56" s="22" t="s">
        <v>40</v>
      </c>
      <c r="F56" s="24" t="n">
        <v>4</v>
      </c>
      <c r="G56" s="25" t="n">
        <v>450</v>
      </c>
      <c r="H56" s="26" t="n">
        <v>0</v>
      </c>
      <c r="I56" s="27" t="n">
        <f aca="false">F56*G56*(1-H56)</f>
        <v>1800</v>
      </c>
    </row>
    <row r="57" customFormat="false" ht="15" hidden="false" customHeight="false" outlineLevel="0" collapsed="false">
      <c r="A57" s="22" t="s">
        <v>105</v>
      </c>
      <c r="B57" s="23" t="n">
        <v>45744</v>
      </c>
      <c r="C57" s="22" t="s">
        <v>17</v>
      </c>
      <c r="D57" s="22" t="s">
        <v>30</v>
      </c>
      <c r="E57" s="22" t="s">
        <v>42</v>
      </c>
      <c r="F57" s="24" t="n">
        <v>11</v>
      </c>
      <c r="G57" s="25" t="n">
        <v>900</v>
      </c>
      <c r="H57" s="26" t="n">
        <v>0.05</v>
      </c>
      <c r="I57" s="27" t="n">
        <f aca="false">F57*G57*(1-H57)</f>
        <v>9405</v>
      </c>
    </row>
    <row r="58" customFormat="false" ht="15" hidden="false" customHeight="false" outlineLevel="0" collapsed="false">
      <c r="A58" s="22" t="s">
        <v>106</v>
      </c>
      <c r="B58" s="23" t="n">
        <v>45745</v>
      </c>
      <c r="C58" s="22" t="s">
        <v>13</v>
      </c>
      <c r="D58" s="22" t="s">
        <v>30</v>
      </c>
      <c r="E58" s="22" t="s">
        <v>43</v>
      </c>
      <c r="F58" s="24" t="n">
        <v>2</v>
      </c>
      <c r="G58" s="25" t="n">
        <v>3200</v>
      </c>
      <c r="H58" s="26" t="n">
        <v>0.1</v>
      </c>
      <c r="I58" s="27" t="n">
        <f aca="false">F58*G58*(1-H58)</f>
        <v>5760</v>
      </c>
    </row>
    <row r="59" customFormat="false" ht="15" hidden="false" customHeight="false" outlineLevel="0" collapsed="false">
      <c r="A59" s="22" t="s">
        <v>107</v>
      </c>
      <c r="B59" s="23" t="n">
        <v>45747</v>
      </c>
      <c r="C59" s="22" t="s">
        <v>13</v>
      </c>
      <c r="D59" s="22" t="s">
        <v>27</v>
      </c>
      <c r="E59" s="22" t="s">
        <v>34</v>
      </c>
      <c r="F59" s="24" t="n">
        <v>1</v>
      </c>
      <c r="G59" s="25" t="n">
        <v>55000</v>
      </c>
      <c r="H59" s="26" t="n">
        <v>0</v>
      </c>
      <c r="I59" s="27" t="n">
        <f aca="false">F59*G59*(1-H59)</f>
        <v>55000</v>
      </c>
    </row>
    <row r="60" customFormat="false" ht="15" hidden="false" customHeight="false" outlineLevel="0" collapsed="false">
      <c r="A60" s="22" t="s">
        <v>108</v>
      </c>
      <c r="B60" s="23" t="n">
        <v>45748</v>
      </c>
      <c r="C60" s="22" t="s">
        <v>11</v>
      </c>
      <c r="D60" s="22" t="s">
        <v>27</v>
      </c>
      <c r="E60" s="22" t="s">
        <v>34</v>
      </c>
      <c r="F60" s="24" t="n">
        <v>8</v>
      </c>
      <c r="G60" s="25" t="n">
        <v>55000</v>
      </c>
      <c r="H60" s="26" t="n">
        <v>0</v>
      </c>
      <c r="I60" s="27" t="n">
        <f aca="false">F60*G60*(1-H60)</f>
        <v>440000</v>
      </c>
    </row>
    <row r="61" customFormat="false" ht="15" hidden="false" customHeight="false" outlineLevel="0" collapsed="false">
      <c r="A61" s="22" t="s">
        <v>109</v>
      </c>
      <c r="B61" s="23" t="n">
        <v>45750</v>
      </c>
      <c r="C61" s="22" t="s">
        <v>15</v>
      </c>
      <c r="D61" s="22" t="s">
        <v>30</v>
      </c>
      <c r="E61" s="22" t="s">
        <v>41</v>
      </c>
      <c r="F61" s="24" t="n">
        <v>12</v>
      </c>
      <c r="G61" s="25" t="n">
        <v>2200</v>
      </c>
      <c r="H61" s="26" t="n">
        <v>0.05</v>
      </c>
      <c r="I61" s="27" t="n">
        <f aca="false">F61*G61*(1-H61)</f>
        <v>25080</v>
      </c>
    </row>
    <row r="62" customFormat="false" ht="15" hidden="false" customHeight="false" outlineLevel="0" collapsed="false">
      <c r="A62" s="22" t="s">
        <v>110</v>
      </c>
      <c r="B62" s="23" t="n">
        <v>45752</v>
      </c>
      <c r="C62" s="22" t="s">
        <v>13</v>
      </c>
      <c r="D62" s="22" t="s">
        <v>30</v>
      </c>
      <c r="E62" s="22" t="s">
        <v>42</v>
      </c>
      <c r="F62" s="24" t="n">
        <v>8</v>
      </c>
      <c r="G62" s="25" t="n">
        <v>900</v>
      </c>
      <c r="H62" s="26" t="n">
        <v>0.05</v>
      </c>
      <c r="I62" s="27" t="n">
        <f aca="false">F62*G62*(1-H62)</f>
        <v>6840</v>
      </c>
    </row>
    <row r="63" customFormat="false" ht="15" hidden="false" customHeight="false" outlineLevel="0" collapsed="false">
      <c r="A63" s="22" t="s">
        <v>111</v>
      </c>
      <c r="B63" s="23" t="n">
        <v>45753</v>
      </c>
      <c r="C63" s="22" t="s">
        <v>11</v>
      </c>
      <c r="D63" s="22" t="s">
        <v>28</v>
      </c>
      <c r="E63" s="22" t="s">
        <v>37</v>
      </c>
      <c r="F63" s="24" t="n">
        <v>11</v>
      </c>
      <c r="G63" s="25" t="n">
        <v>8500</v>
      </c>
      <c r="H63" s="26" t="n">
        <v>0</v>
      </c>
      <c r="I63" s="27" t="n">
        <f aca="false">F63*G63*(1-H63)</f>
        <v>93500</v>
      </c>
    </row>
    <row r="64" customFormat="false" ht="15" hidden="false" customHeight="false" outlineLevel="0" collapsed="false">
      <c r="A64" s="22" t="s">
        <v>112</v>
      </c>
      <c r="B64" s="23" t="n">
        <v>45754</v>
      </c>
      <c r="C64" s="22" t="s">
        <v>11</v>
      </c>
      <c r="D64" s="22" t="s">
        <v>30</v>
      </c>
      <c r="E64" s="22" t="s">
        <v>42</v>
      </c>
      <c r="F64" s="24" t="n">
        <v>8</v>
      </c>
      <c r="G64" s="25" t="n">
        <v>900</v>
      </c>
      <c r="H64" s="26" t="n">
        <v>0</v>
      </c>
      <c r="I64" s="27" t="n">
        <f aca="false">F64*G64*(1-H64)</f>
        <v>7200</v>
      </c>
    </row>
    <row r="65" customFormat="false" ht="15" hidden="false" customHeight="false" outlineLevel="0" collapsed="false">
      <c r="A65" s="22" t="s">
        <v>113</v>
      </c>
      <c r="B65" s="23" t="n">
        <v>45754</v>
      </c>
      <c r="C65" s="22" t="s">
        <v>11</v>
      </c>
      <c r="D65" s="22" t="s">
        <v>30</v>
      </c>
      <c r="E65" s="22" t="s">
        <v>41</v>
      </c>
      <c r="F65" s="24" t="n">
        <v>2</v>
      </c>
      <c r="G65" s="25" t="n">
        <v>2200</v>
      </c>
      <c r="H65" s="26" t="n">
        <v>0.15</v>
      </c>
      <c r="I65" s="27" t="n">
        <f aca="false">F65*G65*(1-H65)</f>
        <v>3740</v>
      </c>
    </row>
    <row r="66" customFormat="false" ht="15" hidden="false" customHeight="false" outlineLevel="0" collapsed="false">
      <c r="A66" s="22" t="s">
        <v>114</v>
      </c>
      <c r="B66" s="23" t="n">
        <v>45754</v>
      </c>
      <c r="C66" s="22" t="s">
        <v>11</v>
      </c>
      <c r="D66" s="22" t="s">
        <v>27</v>
      </c>
      <c r="E66" s="22" t="s">
        <v>34</v>
      </c>
      <c r="F66" s="24" t="n">
        <v>11</v>
      </c>
      <c r="G66" s="25" t="n">
        <v>55000</v>
      </c>
      <c r="H66" s="26" t="n">
        <v>0</v>
      </c>
      <c r="I66" s="27" t="n">
        <f aca="false">F66*G66*(1-H66)</f>
        <v>605000</v>
      </c>
    </row>
    <row r="67" customFormat="false" ht="15" hidden="false" customHeight="false" outlineLevel="0" collapsed="false">
      <c r="A67" s="22" t="s">
        <v>115</v>
      </c>
      <c r="B67" s="23" t="n">
        <v>45755</v>
      </c>
      <c r="C67" s="22" t="s">
        <v>13</v>
      </c>
      <c r="D67" s="22" t="s">
        <v>27</v>
      </c>
      <c r="E67" s="22" t="s">
        <v>35</v>
      </c>
      <c r="F67" s="24" t="n">
        <v>3</v>
      </c>
      <c r="G67" s="25" t="n">
        <v>24000</v>
      </c>
      <c r="H67" s="26" t="n">
        <v>0</v>
      </c>
      <c r="I67" s="27" t="n">
        <f aca="false">F67*G67*(1-H67)</f>
        <v>72000</v>
      </c>
    </row>
    <row r="68" customFormat="false" ht="15" hidden="false" customHeight="false" outlineLevel="0" collapsed="false">
      <c r="A68" s="22" t="s">
        <v>116</v>
      </c>
      <c r="B68" s="23" t="n">
        <v>45757</v>
      </c>
      <c r="C68" s="22" t="s">
        <v>11</v>
      </c>
      <c r="D68" s="22" t="s">
        <v>30</v>
      </c>
      <c r="E68" s="22" t="s">
        <v>41</v>
      </c>
      <c r="F68" s="24" t="n">
        <v>12</v>
      </c>
      <c r="G68" s="25" t="n">
        <v>2200</v>
      </c>
      <c r="H68" s="26" t="n">
        <v>0.05</v>
      </c>
      <c r="I68" s="27" t="n">
        <f aca="false">F68*G68*(1-H68)</f>
        <v>25080</v>
      </c>
    </row>
    <row r="69" customFormat="false" ht="15" hidden="false" customHeight="false" outlineLevel="0" collapsed="false">
      <c r="A69" s="22" t="s">
        <v>117</v>
      </c>
      <c r="B69" s="23" t="n">
        <v>45763</v>
      </c>
      <c r="C69" s="22" t="s">
        <v>17</v>
      </c>
      <c r="D69" s="22" t="s">
        <v>30</v>
      </c>
      <c r="E69" s="22" t="s">
        <v>43</v>
      </c>
      <c r="F69" s="24" t="n">
        <v>9</v>
      </c>
      <c r="G69" s="25" t="n">
        <v>3200</v>
      </c>
      <c r="H69" s="26" t="n">
        <v>0.05</v>
      </c>
      <c r="I69" s="27" t="n">
        <f aca="false">F69*G69*(1-H69)</f>
        <v>27360</v>
      </c>
    </row>
    <row r="70" customFormat="false" ht="15" hidden="false" customHeight="false" outlineLevel="0" collapsed="false">
      <c r="A70" s="22" t="s">
        <v>118</v>
      </c>
      <c r="B70" s="23" t="n">
        <v>45766</v>
      </c>
      <c r="C70" s="22" t="s">
        <v>17</v>
      </c>
      <c r="D70" s="22" t="s">
        <v>28</v>
      </c>
      <c r="E70" s="22" t="s">
        <v>37</v>
      </c>
      <c r="F70" s="24" t="n">
        <v>3</v>
      </c>
      <c r="G70" s="25" t="n">
        <v>8500</v>
      </c>
      <c r="H70" s="26" t="n">
        <v>0</v>
      </c>
      <c r="I70" s="27" t="n">
        <f aca="false">F70*G70*(1-H70)</f>
        <v>25500</v>
      </c>
    </row>
    <row r="71" customFormat="false" ht="15" hidden="false" customHeight="false" outlineLevel="0" collapsed="false">
      <c r="A71" s="22" t="s">
        <v>119</v>
      </c>
      <c r="B71" s="23" t="n">
        <v>45767</v>
      </c>
      <c r="C71" s="22" t="s">
        <v>11</v>
      </c>
      <c r="D71" s="22" t="s">
        <v>27</v>
      </c>
      <c r="E71" s="22" t="s">
        <v>35</v>
      </c>
      <c r="F71" s="24" t="n">
        <v>2</v>
      </c>
      <c r="G71" s="25" t="n">
        <v>24000</v>
      </c>
      <c r="H71" s="26" t="n">
        <v>0.15</v>
      </c>
      <c r="I71" s="27" t="n">
        <f aca="false">F71*G71*(1-H71)</f>
        <v>40800</v>
      </c>
    </row>
    <row r="72" customFormat="false" ht="15" hidden="false" customHeight="false" outlineLevel="0" collapsed="false">
      <c r="A72" s="22" t="s">
        <v>120</v>
      </c>
      <c r="B72" s="23" t="n">
        <v>45769</v>
      </c>
      <c r="C72" s="22" t="s">
        <v>15</v>
      </c>
      <c r="D72" s="22" t="s">
        <v>28</v>
      </c>
      <c r="E72" s="22" t="s">
        <v>38</v>
      </c>
      <c r="F72" s="24" t="n">
        <v>6</v>
      </c>
      <c r="G72" s="25" t="n">
        <v>18000</v>
      </c>
      <c r="H72" s="26" t="n">
        <v>0.05</v>
      </c>
      <c r="I72" s="27" t="n">
        <f aca="false">F72*G72*(1-H72)</f>
        <v>102600</v>
      </c>
    </row>
    <row r="73" customFormat="false" ht="15" hidden="false" customHeight="false" outlineLevel="0" collapsed="false">
      <c r="A73" s="22" t="s">
        <v>121</v>
      </c>
      <c r="B73" s="23" t="n">
        <v>45772</v>
      </c>
      <c r="C73" s="22" t="s">
        <v>17</v>
      </c>
      <c r="D73" s="22" t="s">
        <v>27</v>
      </c>
      <c r="E73" s="22" t="s">
        <v>36</v>
      </c>
      <c r="F73" s="24" t="n">
        <v>6</v>
      </c>
      <c r="G73" s="25" t="n">
        <v>3500</v>
      </c>
      <c r="H73" s="26" t="n">
        <v>0.15</v>
      </c>
      <c r="I73" s="27" t="n">
        <f aca="false">F73*G73*(1-H73)</f>
        <v>17850</v>
      </c>
    </row>
    <row r="74" customFormat="false" ht="15" hidden="false" customHeight="false" outlineLevel="0" collapsed="false">
      <c r="A74" s="22" t="s">
        <v>122</v>
      </c>
      <c r="B74" s="23" t="n">
        <v>45774</v>
      </c>
      <c r="C74" s="22" t="s">
        <v>11</v>
      </c>
      <c r="D74" s="22" t="s">
        <v>30</v>
      </c>
      <c r="E74" s="22" t="s">
        <v>43</v>
      </c>
      <c r="F74" s="24" t="n">
        <v>12</v>
      </c>
      <c r="G74" s="25" t="n">
        <v>3200</v>
      </c>
      <c r="H74" s="26" t="n">
        <v>0.05</v>
      </c>
      <c r="I74" s="27" t="n">
        <f aca="false">F74*G74*(1-H74)</f>
        <v>36480</v>
      </c>
    </row>
    <row r="75" customFormat="false" ht="15" hidden="false" customHeight="false" outlineLevel="0" collapsed="false">
      <c r="A75" s="22" t="s">
        <v>123</v>
      </c>
      <c r="B75" s="23" t="n">
        <v>45777</v>
      </c>
      <c r="C75" s="22" t="s">
        <v>11</v>
      </c>
      <c r="D75" s="22" t="s">
        <v>27</v>
      </c>
      <c r="E75" s="22" t="s">
        <v>36</v>
      </c>
      <c r="F75" s="24" t="n">
        <v>10</v>
      </c>
      <c r="G75" s="25" t="n">
        <v>3500</v>
      </c>
      <c r="H75" s="26" t="n">
        <v>0.05</v>
      </c>
      <c r="I75" s="27" t="n">
        <f aca="false">F75*G75*(1-H75)</f>
        <v>33250</v>
      </c>
    </row>
    <row r="76" customFormat="false" ht="15" hidden="false" customHeight="false" outlineLevel="0" collapsed="false">
      <c r="A76" s="22" t="s">
        <v>124</v>
      </c>
      <c r="B76" s="23" t="n">
        <v>45777</v>
      </c>
      <c r="C76" s="22" t="s">
        <v>13</v>
      </c>
      <c r="D76" s="22" t="s">
        <v>30</v>
      </c>
      <c r="E76" s="22" t="s">
        <v>43</v>
      </c>
      <c r="F76" s="24" t="n">
        <v>5</v>
      </c>
      <c r="G76" s="25" t="n">
        <v>3200</v>
      </c>
      <c r="H76" s="26" t="n">
        <v>0.05</v>
      </c>
      <c r="I76" s="27" t="n">
        <f aca="false">F76*G76*(1-H76)</f>
        <v>15200</v>
      </c>
    </row>
    <row r="77" customFormat="false" ht="15" hidden="false" customHeight="false" outlineLevel="0" collapsed="false">
      <c r="A77" s="22" t="s">
        <v>125</v>
      </c>
      <c r="B77" s="23" t="n">
        <v>45778</v>
      </c>
      <c r="C77" s="22" t="s">
        <v>17</v>
      </c>
      <c r="D77" s="22" t="s">
        <v>28</v>
      </c>
      <c r="E77" s="22" t="s">
        <v>37</v>
      </c>
      <c r="F77" s="24" t="n">
        <v>8</v>
      </c>
      <c r="G77" s="25" t="n">
        <v>8500</v>
      </c>
      <c r="H77" s="26" t="n">
        <v>0</v>
      </c>
      <c r="I77" s="27" t="n">
        <f aca="false">F77*G77*(1-H77)</f>
        <v>68000</v>
      </c>
    </row>
    <row r="78" customFormat="false" ht="15" hidden="false" customHeight="false" outlineLevel="0" collapsed="false">
      <c r="A78" s="22" t="s">
        <v>126</v>
      </c>
      <c r="B78" s="23" t="n">
        <v>45782</v>
      </c>
      <c r="C78" s="22" t="s">
        <v>11</v>
      </c>
      <c r="D78" s="22" t="s">
        <v>30</v>
      </c>
      <c r="E78" s="22" t="s">
        <v>41</v>
      </c>
      <c r="F78" s="24" t="n">
        <v>3</v>
      </c>
      <c r="G78" s="25" t="n">
        <v>2200</v>
      </c>
      <c r="H78" s="26" t="n">
        <v>0.05</v>
      </c>
      <c r="I78" s="27" t="n">
        <f aca="false">F78*G78*(1-H78)</f>
        <v>6270</v>
      </c>
    </row>
    <row r="79" customFormat="false" ht="15" hidden="false" customHeight="false" outlineLevel="0" collapsed="false">
      <c r="A79" s="22" t="s">
        <v>127</v>
      </c>
      <c r="B79" s="23" t="n">
        <v>45783</v>
      </c>
      <c r="C79" s="22" t="s">
        <v>13</v>
      </c>
      <c r="D79" s="22" t="s">
        <v>29</v>
      </c>
      <c r="E79" s="22" t="s">
        <v>39</v>
      </c>
      <c r="F79" s="24" t="n">
        <v>11</v>
      </c>
      <c r="G79" s="25" t="n">
        <v>1200</v>
      </c>
      <c r="H79" s="26" t="n">
        <v>0.15</v>
      </c>
      <c r="I79" s="27" t="n">
        <f aca="false">F79*G79*(1-H79)</f>
        <v>11220</v>
      </c>
    </row>
    <row r="80" customFormat="false" ht="15" hidden="false" customHeight="false" outlineLevel="0" collapsed="false">
      <c r="A80" s="22" t="s">
        <v>128</v>
      </c>
      <c r="B80" s="23" t="n">
        <v>45784</v>
      </c>
      <c r="C80" s="22" t="s">
        <v>11</v>
      </c>
      <c r="D80" s="22" t="s">
        <v>27</v>
      </c>
      <c r="E80" s="22" t="s">
        <v>36</v>
      </c>
      <c r="F80" s="24" t="n">
        <v>11</v>
      </c>
      <c r="G80" s="25" t="n">
        <v>3500</v>
      </c>
      <c r="H80" s="26" t="n">
        <v>0.15</v>
      </c>
      <c r="I80" s="27" t="n">
        <f aca="false">F80*G80*(1-H80)</f>
        <v>32725</v>
      </c>
    </row>
    <row r="81" customFormat="false" ht="15" hidden="false" customHeight="false" outlineLevel="0" collapsed="false">
      <c r="A81" s="22" t="s">
        <v>129</v>
      </c>
      <c r="B81" s="23" t="n">
        <v>45789</v>
      </c>
      <c r="C81" s="22" t="s">
        <v>11</v>
      </c>
      <c r="D81" s="22" t="s">
        <v>29</v>
      </c>
      <c r="E81" s="22" t="s">
        <v>39</v>
      </c>
      <c r="F81" s="24" t="n">
        <v>11</v>
      </c>
      <c r="G81" s="25" t="n">
        <v>1200</v>
      </c>
      <c r="H81" s="26" t="n">
        <v>0</v>
      </c>
      <c r="I81" s="27" t="n">
        <f aca="false">F81*G81*(1-H81)</f>
        <v>13200</v>
      </c>
    </row>
    <row r="82" customFormat="false" ht="15" hidden="false" customHeight="false" outlineLevel="0" collapsed="false">
      <c r="A82" s="22" t="s">
        <v>130</v>
      </c>
      <c r="B82" s="23" t="n">
        <v>45789</v>
      </c>
      <c r="C82" s="22" t="s">
        <v>15</v>
      </c>
      <c r="D82" s="22" t="s">
        <v>27</v>
      </c>
      <c r="E82" s="22" t="s">
        <v>34</v>
      </c>
      <c r="F82" s="24" t="n">
        <v>9</v>
      </c>
      <c r="G82" s="25" t="n">
        <v>55000</v>
      </c>
      <c r="H82" s="26" t="n">
        <v>0</v>
      </c>
      <c r="I82" s="27" t="n">
        <f aca="false">F82*G82*(1-H82)</f>
        <v>495000</v>
      </c>
    </row>
    <row r="83" customFormat="false" ht="15" hidden="false" customHeight="false" outlineLevel="0" collapsed="false">
      <c r="A83" s="22" t="s">
        <v>131</v>
      </c>
      <c r="B83" s="23" t="n">
        <v>45792</v>
      </c>
      <c r="C83" s="22" t="s">
        <v>13</v>
      </c>
      <c r="D83" s="22" t="s">
        <v>28</v>
      </c>
      <c r="E83" s="22" t="s">
        <v>37</v>
      </c>
      <c r="F83" s="24" t="n">
        <v>10</v>
      </c>
      <c r="G83" s="25" t="n">
        <v>8500</v>
      </c>
      <c r="H83" s="26" t="n">
        <v>0.1</v>
      </c>
      <c r="I83" s="27" t="n">
        <f aca="false">F83*G83*(1-H83)</f>
        <v>76500</v>
      </c>
    </row>
    <row r="84" customFormat="false" ht="15" hidden="false" customHeight="false" outlineLevel="0" collapsed="false">
      <c r="A84" s="22" t="s">
        <v>132</v>
      </c>
      <c r="B84" s="23" t="n">
        <v>45793</v>
      </c>
      <c r="C84" s="22" t="s">
        <v>11</v>
      </c>
      <c r="D84" s="22" t="s">
        <v>27</v>
      </c>
      <c r="E84" s="22" t="s">
        <v>35</v>
      </c>
      <c r="F84" s="24" t="n">
        <v>11</v>
      </c>
      <c r="G84" s="25" t="n">
        <v>24000</v>
      </c>
      <c r="H84" s="26" t="n">
        <v>0.05</v>
      </c>
      <c r="I84" s="27" t="n">
        <f aca="false">F84*G84*(1-H84)</f>
        <v>250800</v>
      </c>
    </row>
    <row r="85" customFormat="false" ht="15" hidden="false" customHeight="false" outlineLevel="0" collapsed="false">
      <c r="A85" s="22" t="s">
        <v>133</v>
      </c>
      <c r="B85" s="23" t="n">
        <v>45793</v>
      </c>
      <c r="C85" s="22" t="s">
        <v>11</v>
      </c>
      <c r="D85" s="22" t="s">
        <v>30</v>
      </c>
      <c r="E85" s="22" t="s">
        <v>41</v>
      </c>
      <c r="F85" s="24" t="n">
        <v>6</v>
      </c>
      <c r="G85" s="25" t="n">
        <v>2200</v>
      </c>
      <c r="H85" s="26" t="n">
        <v>0.1</v>
      </c>
      <c r="I85" s="27" t="n">
        <f aca="false">F85*G85*(1-H85)</f>
        <v>11880</v>
      </c>
    </row>
    <row r="86" customFormat="false" ht="15" hidden="false" customHeight="false" outlineLevel="0" collapsed="false">
      <c r="A86" s="22" t="s">
        <v>134</v>
      </c>
      <c r="B86" s="23" t="n">
        <v>45793</v>
      </c>
      <c r="C86" s="22" t="s">
        <v>17</v>
      </c>
      <c r="D86" s="22" t="s">
        <v>30</v>
      </c>
      <c r="E86" s="22" t="s">
        <v>43</v>
      </c>
      <c r="F86" s="24" t="n">
        <v>5</v>
      </c>
      <c r="G86" s="25" t="n">
        <v>3200</v>
      </c>
      <c r="H86" s="26" t="n">
        <v>0.15</v>
      </c>
      <c r="I86" s="27" t="n">
        <f aca="false">F86*G86*(1-H86)</f>
        <v>13600</v>
      </c>
    </row>
    <row r="87" customFormat="false" ht="15" hidden="false" customHeight="false" outlineLevel="0" collapsed="false">
      <c r="A87" s="22" t="s">
        <v>135</v>
      </c>
      <c r="B87" s="23" t="n">
        <v>45797</v>
      </c>
      <c r="C87" s="22" t="s">
        <v>11</v>
      </c>
      <c r="D87" s="22" t="s">
        <v>27</v>
      </c>
      <c r="E87" s="22" t="s">
        <v>36</v>
      </c>
      <c r="F87" s="24" t="n">
        <v>8</v>
      </c>
      <c r="G87" s="25" t="n">
        <v>3500</v>
      </c>
      <c r="H87" s="26" t="n">
        <v>0.05</v>
      </c>
      <c r="I87" s="27" t="n">
        <f aca="false">F87*G87*(1-H87)</f>
        <v>26600</v>
      </c>
    </row>
    <row r="88" customFormat="false" ht="15" hidden="false" customHeight="false" outlineLevel="0" collapsed="false">
      <c r="A88" s="22" t="s">
        <v>136</v>
      </c>
      <c r="B88" s="23" t="n">
        <v>45798</v>
      </c>
      <c r="C88" s="22" t="s">
        <v>13</v>
      </c>
      <c r="D88" s="22" t="s">
        <v>27</v>
      </c>
      <c r="E88" s="22" t="s">
        <v>36</v>
      </c>
      <c r="F88" s="24" t="n">
        <v>1</v>
      </c>
      <c r="G88" s="25" t="n">
        <v>3500</v>
      </c>
      <c r="H88" s="26" t="n">
        <v>0</v>
      </c>
      <c r="I88" s="27" t="n">
        <f aca="false">F88*G88*(1-H88)</f>
        <v>3500</v>
      </c>
    </row>
    <row r="89" customFormat="false" ht="15" hidden="false" customHeight="false" outlineLevel="0" collapsed="false">
      <c r="A89" s="22" t="s">
        <v>137</v>
      </c>
      <c r="B89" s="23" t="n">
        <v>45798</v>
      </c>
      <c r="C89" s="22" t="s">
        <v>13</v>
      </c>
      <c r="D89" s="22" t="s">
        <v>30</v>
      </c>
      <c r="E89" s="22" t="s">
        <v>42</v>
      </c>
      <c r="F89" s="24" t="n">
        <v>7</v>
      </c>
      <c r="G89" s="25" t="n">
        <v>900</v>
      </c>
      <c r="H89" s="26" t="n">
        <v>0</v>
      </c>
      <c r="I89" s="27" t="n">
        <f aca="false">F89*G89*(1-H89)</f>
        <v>6300</v>
      </c>
    </row>
    <row r="90" customFormat="false" ht="15" hidden="false" customHeight="false" outlineLevel="0" collapsed="false">
      <c r="A90" s="22" t="s">
        <v>138</v>
      </c>
      <c r="B90" s="23" t="n">
        <v>45799</v>
      </c>
      <c r="C90" s="22" t="s">
        <v>13</v>
      </c>
      <c r="D90" s="22" t="s">
        <v>27</v>
      </c>
      <c r="E90" s="22" t="s">
        <v>35</v>
      </c>
      <c r="F90" s="24" t="n">
        <v>9</v>
      </c>
      <c r="G90" s="25" t="n">
        <v>24000</v>
      </c>
      <c r="H90" s="26" t="n">
        <v>0.1</v>
      </c>
      <c r="I90" s="27" t="n">
        <f aca="false">F90*G90*(1-H90)</f>
        <v>194400</v>
      </c>
    </row>
    <row r="91" customFormat="false" ht="15" hidden="false" customHeight="false" outlineLevel="0" collapsed="false">
      <c r="A91" s="22" t="s">
        <v>139</v>
      </c>
      <c r="B91" s="23" t="n">
        <v>45801</v>
      </c>
      <c r="C91" s="22" t="s">
        <v>13</v>
      </c>
      <c r="D91" s="22" t="s">
        <v>30</v>
      </c>
      <c r="E91" s="22" t="s">
        <v>41</v>
      </c>
      <c r="F91" s="24" t="n">
        <v>5</v>
      </c>
      <c r="G91" s="25" t="n">
        <v>2200</v>
      </c>
      <c r="H91" s="26" t="n">
        <v>0.1</v>
      </c>
      <c r="I91" s="27" t="n">
        <f aca="false">F91*G91*(1-H91)</f>
        <v>9900</v>
      </c>
    </row>
    <row r="92" customFormat="false" ht="15" hidden="false" customHeight="false" outlineLevel="0" collapsed="false">
      <c r="A92" s="22" t="s">
        <v>140</v>
      </c>
      <c r="B92" s="23" t="n">
        <v>45801</v>
      </c>
      <c r="C92" s="22" t="s">
        <v>13</v>
      </c>
      <c r="D92" s="22" t="s">
        <v>27</v>
      </c>
      <c r="E92" s="22" t="s">
        <v>35</v>
      </c>
      <c r="F92" s="24" t="n">
        <v>4</v>
      </c>
      <c r="G92" s="25" t="n">
        <v>24000</v>
      </c>
      <c r="H92" s="26" t="n">
        <v>0</v>
      </c>
      <c r="I92" s="27" t="n">
        <f aca="false">F92*G92*(1-H92)</f>
        <v>96000</v>
      </c>
    </row>
    <row r="93" customFormat="false" ht="15" hidden="false" customHeight="false" outlineLevel="0" collapsed="false">
      <c r="A93" s="22" t="s">
        <v>141</v>
      </c>
      <c r="B93" s="23" t="n">
        <v>45805</v>
      </c>
      <c r="C93" s="22" t="s">
        <v>13</v>
      </c>
      <c r="D93" s="22" t="s">
        <v>27</v>
      </c>
      <c r="E93" s="22" t="s">
        <v>35</v>
      </c>
      <c r="F93" s="24" t="n">
        <v>9</v>
      </c>
      <c r="G93" s="25" t="n">
        <v>24000</v>
      </c>
      <c r="H93" s="26" t="n">
        <v>0.05</v>
      </c>
      <c r="I93" s="27" t="n">
        <f aca="false">F93*G93*(1-H93)</f>
        <v>205200</v>
      </c>
    </row>
    <row r="94" customFormat="false" ht="15" hidden="false" customHeight="false" outlineLevel="0" collapsed="false">
      <c r="A94" s="22" t="s">
        <v>142</v>
      </c>
      <c r="B94" s="23" t="n">
        <v>45807</v>
      </c>
      <c r="C94" s="22" t="s">
        <v>17</v>
      </c>
      <c r="D94" s="22" t="s">
        <v>28</v>
      </c>
      <c r="E94" s="22" t="s">
        <v>38</v>
      </c>
      <c r="F94" s="24" t="n">
        <v>12</v>
      </c>
      <c r="G94" s="25" t="n">
        <v>18000</v>
      </c>
      <c r="H94" s="26" t="n">
        <v>0.05</v>
      </c>
      <c r="I94" s="27" t="n">
        <f aca="false">F94*G94*(1-H94)</f>
        <v>205200</v>
      </c>
    </row>
    <row r="95" customFormat="false" ht="15" hidden="false" customHeight="false" outlineLevel="0" collapsed="false">
      <c r="A95" s="22" t="s">
        <v>143</v>
      </c>
      <c r="B95" s="23" t="n">
        <v>45809</v>
      </c>
      <c r="C95" s="22" t="s">
        <v>17</v>
      </c>
      <c r="D95" s="22" t="s">
        <v>30</v>
      </c>
      <c r="E95" s="22" t="s">
        <v>42</v>
      </c>
      <c r="F95" s="24" t="n">
        <v>5</v>
      </c>
      <c r="G95" s="25" t="n">
        <v>900</v>
      </c>
      <c r="H95" s="26" t="n">
        <v>0.1</v>
      </c>
      <c r="I95" s="27" t="n">
        <f aca="false">F95*G95*(1-H95)</f>
        <v>4050</v>
      </c>
    </row>
    <row r="96" customFormat="false" ht="15" hidden="false" customHeight="false" outlineLevel="0" collapsed="false">
      <c r="A96" s="22" t="s">
        <v>144</v>
      </c>
      <c r="B96" s="23" t="n">
        <v>45812</v>
      </c>
      <c r="C96" s="22" t="s">
        <v>13</v>
      </c>
      <c r="D96" s="22" t="s">
        <v>30</v>
      </c>
      <c r="E96" s="22" t="s">
        <v>43</v>
      </c>
      <c r="F96" s="24" t="n">
        <v>5</v>
      </c>
      <c r="G96" s="25" t="n">
        <v>3200</v>
      </c>
      <c r="H96" s="26" t="n">
        <v>0.05</v>
      </c>
      <c r="I96" s="27" t="n">
        <f aca="false">F96*G96*(1-H96)</f>
        <v>15200</v>
      </c>
    </row>
    <row r="97" customFormat="false" ht="15" hidden="false" customHeight="false" outlineLevel="0" collapsed="false">
      <c r="A97" s="22" t="s">
        <v>145</v>
      </c>
      <c r="B97" s="23" t="n">
        <v>45819</v>
      </c>
      <c r="C97" s="22" t="s">
        <v>15</v>
      </c>
      <c r="D97" s="22" t="s">
        <v>27</v>
      </c>
      <c r="E97" s="22" t="s">
        <v>34</v>
      </c>
      <c r="F97" s="24" t="n">
        <v>4</v>
      </c>
      <c r="G97" s="25" t="n">
        <v>55000</v>
      </c>
      <c r="H97" s="26" t="n">
        <v>0.15</v>
      </c>
      <c r="I97" s="27" t="n">
        <f aca="false">F97*G97*(1-H97)</f>
        <v>187000</v>
      </c>
    </row>
    <row r="98" customFormat="false" ht="15" hidden="false" customHeight="false" outlineLevel="0" collapsed="false">
      <c r="A98" s="22" t="s">
        <v>146</v>
      </c>
      <c r="B98" s="23" t="n">
        <v>45819</v>
      </c>
      <c r="C98" s="22" t="s">
        <v>13</v>
      </c>
      <c r="D98" s="22" t="s">
        <v>30</v>
      </c>
      <c r="E98" s="22" t="s">
        <v>43</v>
      </c>
      <c r="F98" s="24" t="n">
        <v>9</v>
      </c>
      <c r="G98" s="25" t="n">
        <v>3200</v>
      </c>
      <c r="H98" s="26" t="n">
        <v>0.1</v>
      </c>
      <c r="I98" s="27" t="n">
        <f aca="false">F98*G98*(1-H98)</f>
        <v>25920</v>
      </c>
    </row>
    <row r="99" customFormat="false" ht="15" hidden="false" customHeight="false" outlineLevel="0" collapsed="false">
      <c r="A99" s="22" t="s">
        <v>147</v>
      </c>
      <c r="B99" s="23" t="n">
        <v>45820</v>
      </c>
      <c r="C99" s="22" t="s">
        <v>15</v>
      </c>
      <c r="D99" s="22" t="s">
        <v>29</v>
      </c>
      <c r="E99" s="22" t="s">
        <v>39</v>
      </c>
      <c r="F99" s="24" t="n">
        <v>3</v>
      </c>
      <c r="G99" s="25" t="n">
        <v>1200</v>
      </c>
      <c r="H99" s="26" t="n">
        <v>0.05</v>
      </c>
      <c r="I99" s="27" t="n">
        <f aca="false">F99*G99*(1-H99)</f>
        <v>3420</v>
      </c>
    </row>
    <row r="100" customFormat="false" ht="15" hidden="false" customHeight="false" outlineLevel="0" collapsed="false">
      <c r="A100" s="22" t="s">
        <v>148</v>
      </c>
      <c r="B100" s="23" t="n">
        <v>45825</v>
      </c>
      <c r="C100" s="22" t="s">
        <v>15</v>
      </c>
      <c r="D100" s="22" t="s">
        <v>28</v>
      </c>
      <c r="E100" s="22" t="s">
        <v>37</v>
      </c>
      <c r="F100" s="24" t="n">
        <v>11</v>
      </c>
      <c r="G100" s="25" t="n">
        <v>8500</v>
      </c>
      <c r="H100" s="26" t="n">
        <v>0.05</v>
      </c>
      <c r="I100" s="27" t="n">
        <f aca="false">F100*G100*(1-H100)</f>
        <v>88825</v>
      </c>
    </row>
    <row r="101" customFormat="false" ht="15" hidden="false" customHeight="false" outlineLevel="0" collapsed="false">
      <c r="A101" s="22" t="s">
        <v>149</v>
      </c>
      <c r="B101" s="23" t="n">
        <v>45825</v>
      </c>
      <c r="C101" s="22" t="s">
        <v>17</v>
      </c>
      <c r="D101" s="22" t="s">
        <v>28</v>
      </c>
      <c r="E101" s="22" t="s">
        <v>37</v>
      </c>
      <c r="F101" s="24" t="n">
        <v>8</v>
      </c>
      <c r="G101" s="25" t="n">
        <v>8500</v>
      </c>
      <c r="H101" s="26" t="n">
        <v>0</v>
      </c>
      <c r="I101" s="27" t="n">
        <f aca="false">F101*G101*(1-H101)</f>
        <v>68000</v>
      </c>
    </row>
    <row r="102" customFormat="false" ht="15" hidden="false" customHeight="false" outlineLevel="0" collapsed="false">
      <c r="A102" s="22" t="s">
        <v>150</v>
      </c>
      <c r="B102" s="23" t="n">
        <v>45826</v>
      </c>
      <c r="C102" s="22" t="s">
        <v>15</v>
      </c>
      <c r="D102" s="22" t="s">
        <v>29</v>
      </c>
      <c r="E102" s="22" t="s">
        <v>40</v>
      </c>
      <c r="F102" s="24" t="n">
        <v>3</v>
      </c>
      <c r="G102" s="25" t="n">
        <v>450</v>
      </c>
      <c r="H102" s="26" t="n">
        <v>0.05</v>
      </c>
      <c r="I102" s="27" t="n">
        <f aca="false">F102*G102*(1-H102)</f>
        <v>1282.5</v>
      </c>
    </row>
    <row r="103" customFormat="false" ht="15" hidden="false" customHeight="false" outlineLevel="0" collapsed="false">
      <c r="A103" s="22" t="s">
        <v>151</v>
      </c>
      <c r="B103" s="23" t="n">
        <v>45826</v>
      </c>
      <c r="C103" s="22" t="s">
        <v>15</v>
      </c>
      <c r="D103" s="22" t="s">
        <v>27</v>
      </c>
      <c r="E103" s="22" t="s">
        <v>35</v>
      </c>
      <c r="F103" s="24" t="n">
        <v>8</v>
      </c>
      <c r="G103" s="25" t="n">
        <v>24000</v>
      </c>
      <c r="H103" s="26" t="n">
        <v>0.05</v>
      </c>
      <c r="I103" s="27" t="n">
        <f aca="false">F103*G103*(1-H103)</f>
        <v>182400</v>
      </c>
    </row>
    <row r="104" customFormat="false" ht="15" hidden="false" customHeight="false" outlineLevel="0" collapsed="false">
      <c r="A104" s="22" t="s">
        <v>152</v>
      </c>
      <c r="B104" s="23" t="n">
        <v>45827</v>
      </c>
      <c r="C104" s="22" t="s">
        <v>13</v>
      </c>
      <c r="D104" s="22" t="s">
        <v>30</v>
      </c>
      <c r="E104" s="22" t="s">
        <v>42</v>
      </c>
      <c r="F104" s="24" t="n">
        <v>9</v>
      </c>
      <c r="G104" s="25" t="n">
        <v>900</v>
      </c>
      <c r="H104" s="26" t="n">
        <v>0.05</v>
      </c>
      <c r="I104" s="27" t="n">
        <f aca="false">F104*G104*(1-H104)</f>
        <v>7695</v>
      </c>
    </row>
    <row r="105" customFormat="false" ht="15" hidden="false" customHeight="false" outlineLevel="0" collapsed="false">
      <c r="A105" s="22" t="s">
        <v>153</v>
      </c>
      <c r="B105" s="23" t="n">
        <v>45828</v>
      </c>
      <c r="C105" s="22" t="s">
        <v>11</v>
      </c>
      <c r="D105" s="22" t="s">
        <v>29</v>
      </c>
      <c r="E105" s="22" t="s">
        <v>39</v>
      </c>
      <c r="F105" s="24" t="n">
        <v>8</v>
      </c>
      <c r="G105" s="25" t="n">
        <v>1200</v>
      </c>
      <c r="H105" s="26" t="n">
        <v>0</v>
      </c>
      <c r="I105" s="27" t="n">
        <f aca="false">F105*G105*(1-H105)</f>
        <v>9600</v>
      </c>
    </row>
    <row r="106" customFormat="false" ht="15" hidden="false" customHeight="false" outlineLevel="0" collapsed="false">
      <c r="A106" s="22" t="s">
        <v>154</v>
      </c>
      <c r="B106" s="23" t="n">
        <v>45828</v>
      </c>
      <c r="C106" s="22" t="s">
        <v>11</v>
      </c>
      <c r="D106" s="22" t="s">
        <v>28</v>
      </c>
      <c r="E106" s="22" t="s">
        <v>37</v>
      </c>
      <c r="F106" s="24" t="n">
        <v>8</v>
      </c>
      <c r="G106" s="25" t="n">
        <v>8500</v>
      </c>
      <c r="H106" s="26" t="n">
        <v>0</v>
      </c>
      <c r="I106" s="27" t="n">
        <f aca="false">F106*G106*(1-H106)</f>
        <v>68000</v>
      </c>
    </row>
    <row r="107" customFormat="false" ht="15" hidden="false" customHeight="false" outlineLevel="0" collapsed="false">
      <c r="A107" s="22" t="s">
        <v>155</v>
      </c>
      <c r="B107" s="23" t="n">
        <v>45829</v>
      </c>
      <c r="C107" s="22" t="s">
        <v>17</v>
      </c>
      <c r="D107" s="22" t="s">
        <v>29</v>
      </c>
      <c r="E107" s="22" t="s">
        <v>39</v>
      </c>
      <c r="F107" s="24" t="n">
        <v>9</v>
      </c>
      <c r="G107" s="25" t="n">
        <v>1200</v>
      </c>
      <c r="H107" s="26" t="n">
        <v>0.15</v>
      </c>
      <c r="I107" s="27" t="n">
        <f aca="false">F107*G107*(1-H107)</f>
        <v>9180</v>
      </c>
    </row>
    <row r="108" customFormat="false" ht="15" hidden="false" customHeight="false" outlineLevel="0" collapsed="false">
      <c r="A108" s="22" t="s">
        <v>156</v>
      </c>
      <c r="B108" s="23" t="n">
        <v>45830</v>
      </c>
      <c r="C108" s="22" t="s">
        <v>15</v>
      </c>
      <c r="D108" s="22" t="s">
        <v>27</v>
      </c>
      <c r="E108" s="22" t="s">
        <v>36</v>
      </c>
      <c r="F108" s="24" t="n">
        <v>10</v>
      </c>
      <c r="G108" s="25" t="n">
        <v>3500</v>
      </c>
      <c r="H108" s="26" t="n">
        <v>0</v>
      </c>
      <c r="I108" s="27" t="n">
        <f aca="false">F108*G108*(1-H108)</f>
        <v>35000</v>
      </c>
    </row>
    <row r="109" customFormat="false" ht="15" hidden="false" customHeight="false" outlineLevel="0" collapsed="false">
      <c r="A109" s="22" t="s">
        <v>157</v>
      </c>
      <c r="B109" s="23" t="n">
        <v>45830</v>
      </c>
      <c r="C109" s="22" t="s">
        <v>13</v>
      </c>
      <c r="D109" s="22" t="s">
        <v>30</v>
      </c>
      <c r="E109" s="22" t="s">
        <v>41</v>
      </c>
      <c r="F109" s="24" t="n">
        <v>3</v>
      </c>
      <c r="G109" s="25" t="n">
        <v>2200</v>
      </c>
      <c r="H109" s="26" t="n">
        <v>0.1</v>
      </c>
      <c r="I109" s="27" t="n">
        <f aca="false">F109*G109*(1-H109)</f>
        <v>5940</v>
      </c>
    </row>
    <row r="110" customFormat="false" ht="15" hidden="false" customHeight="false" outlineLevel="0" collapsed="false">
      <c r="A110" s="22" t="s">
        <v>158</v>
      </c>
      <c r="B110" s="23" t="n">
        <v>45831</v>
      </c>
      <c r="C110" s="22" t="s">
        <v>17</v>
      </c>
      <c r="D110" s="22" t="s">
        <v>27</v>
      </c>
      <c r="E110" s="22" t="s">
        <v>35</v>
      </c>
      <c r="F110" s="24" t="n">
        <v>3</v>
      </c>
      <c r="G110" s="25" t="n">
        <v>24000</v>
      </c>
      <c r="H110" s="26" t="n">
        <v>0.1</v>
      </c>
      <c r="I110" s="27" t="n">
        <f aca="false">F110*G110*(1-H110)</f>
        <v>64800</v>
      </c>
    </row>
    <row r="111" customFormat="false" ht="15" hidden="false" customHeight="false" outlineLevel="0" collapsed="false">
      <c r="A111" s="22" t="s">
        <v>159</v>
      </c>
      <c r="B111" s="23" t="n">
        <v>45837</v>
      </c>
      <c r="C111" s="22" t="s">
        <v>13</v>
      </c>
      <c r="D111" s="22" t="s">
        <v>27</v>
      </c>
      <c r="E111" s="22" t="s">
        <v>36</v>
      </c>
      <c r="F111" s="24" t="n">
        <v>6</v>
      </c>
      <c r="G111" s="25" t="n">
        <v>3500</v>
      </c>
      <c r="H111" s="26" t="n">
        <v>0.05</v>
      </c>
      <c r="I111" s="27" t="n">
        <f aca="false">F111*G111*(1-H111)</f>
        <v>19950</v>
      </c>
    </row>
    <row r="112" customFormat="false" ht="15" hidden="false" customHeight="false" outlineLevel="0" collapsed="false">
      <c r="A112" s="22" t="s">
        <v>160</v>
      </c>
      <c r="B112" s="23" t="n">
        <v>45837</v>
      </c>
      <c r="C112" s="22" t="s">
        <v>13</v>
      </c>
      <c r="D112" s="22" t="s">
        <v>30</v>
      </c>
      <c r="E112" s="22" t="s">
        <v>43</v>
      </c>
      <c r="F112" s="24" t="n">
        <v>5</v>
      </c>
      <c r="G112" s="25" t="n">
        <v>3200</v>
      </c>
      <c r="H112" s="26" t="n">
        <v>0</v>
      </c>
      <c r="I112" s="27" t="n">
        <f aca="false">F112*G112*(1-H112)</f>
        <v>16000</v>
      </c>
    </row>
    <row r="113" customFormat="false" ht="15" hidden="false" customHeight="false" outlineLevel="0" collapsed="false">
      <c r="A113" s="22" t="s">
        <v>161</v>
      </c>
      <c r="B113" s="23" t="n">
        <v>45839</v>
      </c>
      <c r="C113" s="22" t="s">
        <v>13</v>
      </c>
      <c r="D113" s="22" t="s">
        <v>28</v>
      </c>
      <c r="E113" s="22" t="s">
        <v>38</v>
      </c>
      <c r="F113" s="24" t="n">
        <v>12</v>
      </c>
      <c r="G113" s="25" t="n">
        <v>18000</v>
      </c>
      <c r="H113" s="26" t="n">
        <v>0</v>
      </c>
      <c r="I113" s="27" t="n">
        <f aca="false">F113*G113*(1-H113)</f>
        <v>216000</v>
      </c>
    </row>
    <row r="114" customFormat="false" ht="15" hidden="false" customHeight="false" outlineLevel="0" collapsed="false">
      <c r="A114" s="22" t="s">
        <v>162</v>
      </c>
      <c r="B114" s="23" t="n">
        <v>45839</v>
      </c>
      <c r="C114" s="22" t="s">
        <v>15</v>
      </c>
      <c r="D114" s="22" t="s">
        <v>30</v>
      </c>
      <c r="E114" s="22" t="s">
        <v>41</v>
      </c>
      <c r="F114" s="24" t="n">
        <v>4</v>
      </c>
      <c r="G114" s="25" t="n">
        <v>2200</v>
      </c>
      <c r="H114" s="26" t="n">
        <v>0.15</v>
      </c>
      <c r="I114" s="27" t="n">
        <f aca="false">F114*G114*(1-H114)</f>
        <v>7480</v>
      </c>
    </row>
    <row r="115" customFormat="false" ht="15" hidden="false" customHeight="false" outlineLevel="0" collapsed="false">
      <c r="A115" s="22" t="s">
        <v>163</v>
      </c>
      <c r="B115" s="23" t="n">
        <v>45839</v>
      </c>
      <c r="C115" s="22" t="s">
        <v>17</v>
      </c>
      <c r="D115" s="22" t="s">
        <v>29</v>
      </c>
      <c r="E115" s="22" t="s">
        <v>39</v>
      </c>
      <c r="F115" s="24" t="n">
        <v>8</v>
      </c>
      <c r="G115" s="25" t="n">
        <v>1200</v>
      </c>
      <c r="H115" s="26" t="n">
        <v>0.15</v>
      </c>
      <c r="I115" s="27" t="n">
        <f aca="false">F115*G115*(1-H115)</f>
        <v>8160</v>
      </c>
    </row>
    <row r="116" customFormat="false" ht="15" hidden="false" customHeight="false" outlineLevel="0" collapsed="false">
      <c r="A116" s="22" t="s">
        <v>164</v>
      </c>
      <c r="B116" s="23" t="n">
        <v>45839</v>
      </c>
      <c r="C116" s="22" t="s">
        <v>15</v>
      </c>
      <c r="D116" s="22" t="s">
        <v>28</v>
      </c>
      <c r="E116" s="22" t="s">
        <v>37</v>
      </c>
      <c r="F116" s="24" t="n">
        <v>9</v>
      </c>
      <c r="G116" s="25" t="n">
        <v>8500</v>
      </c>
      <c r="H116" s="26" t="n">
        <v>0.05</v>
      </c>
      <c r="I116" s="27" t="n">
        <f aca="false">F116*G116*(1-H116)</f>
        <v>72675</v>
      </c>
    </row>
    <row r="117" customFormat="false" ht="15" hidden="false" customHeight="false" outlineLevel="0" collapsed="false">
      <c r="A117" s="22" t="s">
        <v>165</v>
      </c>
      <c r="B117" s="23" t="n">
        <v>45840</v>
      </c>
      <c r="C117" s="22" t="s">
        <v>11</v>
      </c>
      <c r="D117" s="22" t="s">
        <v>30</v>
      </c>
      <c r="E117" s="22" t="s">
        <v>42</v>
      </c>
      <c r="F117" s="24" t="n">
        <v>4</v>
      </c>
      <c r="G117" s="25" t="n">
        <v>900</v>
      </c>
      <c r="H117" s="26" t="n">
        <v>0</v>
      </c>
      <c r="I117" s="27" t="n">
        <f aca="false">F117*G117*(1-H117)</f>
        <v>3600</v>
      </c>
    </row>
    <row r="118" customFormat="false" ht="15" hidden="false" customHeight="false" outlineLevel="0" collapsed="false">
      <c r="A118" s="22" t="s">
        <v>166</v>
      </c>
      <c r="B118" s="23" t="n">
        <v>45841</v>
      </c>
      <c r="C118" s="22" t="s">
        <v>13</v>
      </c>
      <c r="D118" s="22" t="s">
        <v>29</v>
      </c>
      <c r="E118" s="22" t="s">
        <v>39</v>
      </c>
      <c r="F118" s="24" t="n">
        <v>8</v>
      </c>
      <c r="G118" s="25" t="n">
        <v>1200</v>
      </c>
      <c r="H118" s="26" t="n">
        <v>0.05</v>
      </c>
      <c r="I118" s="27" t="n">
        <f aca="false">F118*G118*(1-H118)</f>
        <v>9120</v>
      </c>
    </row>
    <row r="119" customFormat="false" ht="15" hidden="false" customHeight="false" outlineLevel="0" collapsed="false">
      <c r="A119" s="22" t="s">
        <v>167</v>
      </c>
      <c r="B119" s="23" t="n">
        <v>45841</v>
      </c>
      <c r="C119" s="22" t="s">
        <v>15</v>
      </c>
      <c r="D119" s="22" t="s">
        <v>28</v>
      </c>
      <c r="E119" s="22" t="s">
        <v>38</v>
      </c>
      <c r="F119" s="24" t="n">
        <v>3</v>
      </c>
      <c r="G119" s="25" t="n">
        <v>18000</v>
      </c>
      <c r="H119" s="26" t="n">
        <v>0.05</v>
      </c>
      <c r="I119" s="27" t="n">
        <f aca="false">F119*G119*(1-H119)</f>
        <v>51300</v>
      </c>
    </row>
    <row r="120" customFormat="false" ht="15" hidden="false" customHeight="false" outlineLevel="0" collapsed="false">
      <c r="A120" s="22" t="s">
        <v>168</v>
      </c>
      <c r="B120" s="23" t="n">
        <v>45843</v>
      </c>
      <c r="C120" s="22" t="s">
        <v>17</v>
      </c>
      <c r="D120" s="22" t="s">
        <v>27</v>
      </c>
      <c r="E120" s="22" t="s">
        <v>35</v>
      </c>
      <c r="F120" s="24" t="n">
        <v>6</v>
      </c>
      <c r="G120" s="25" t="n">
        <v>24000</v>
      </c>
      <c r="H120" s="26" t="n">
        <v>0.05</v>
      </c>
      <c r="I120" s="27" t="n">
        <f aca="false">F120*G120*(1-H120)</f>
        <v>136800</v>
      </c>
    </row>
    <row r="121" customFormat="false" ht="15" hidden="false" customHeight="false" outlineLevel="0" collapsed="false">
      <c r="A121" s="22" t="s">
        <v>169</v>
      </c>
      <c r="B121" s="23" t="n">
        <v>45843</v>
      </c>
      <c r="C121" s="22" t="s">
        <v>17</v>
      </c>
      <c r="D121" s="22" t="s">
        <v>27</v>
      </c>
      <c r="E121" s="22" t="s">
        <v>34</v>
      </c>
      <c r="F121" s="24" t="n">
        <v>9</v>
      </c>
      <c r="G121" s="25" t="n">
        <v>55000</v>
      </c>
      <c r="H121" s="26" t="n">
        <v>0.05</v>
      </c>
      <c r="I121" s="27" t="n">
        <f aca="false">F121*G121*(1-H121)</f>
        <v>470250</v>
      </c>
    </row>
    <row r="122" customFormat="false" ht="15" hidden="false" customHeight="false" outlineLevel="0" collapsed="false">
      <c r="A122" s="22" t="s">
        <v>170</v>
      </c>
      <c r="B122" s="23" t="n">
        <v>45844</v>
      </c>
      <c r="C122" s="22" t="s">
        <v>11</v>
      </c>
      <c r="D122" s="22" t="s">
        <v>30</v>
      </c>
      <c r="E122" s="22" t="s">
        <v>42</v>
      </c>
      <c r="F122" s="24" t="n">
        <v>3</v>
      </c>
      <c r="G122" s="25" t="n">
        <v>900</v>
      </c>
      <c r="H122" s="26" t="n">
        <v>0.05</v>
      </c>
      <c r="I122" s="27" t="n">
        <f aca="false">F122*G122*(1-H122)</f>
        <v>2565</v>
      </c>
    </row>
    <row r="123" customFormat="false" ht="15" hidden="false" customHeight="false" outlineLevel="0" collapsed="false">
      <c r="A123" s="22" t="s">
        <v>171</v>
      </c>
      <c r="B123" s="23" t="n">
        <v>45850</v>
      </c>
      <c r="C123" s="22" t="s">
        <v>15</v>
      </c>
      <c r="D123" s="22" t="s">
        <v>29</v>
      </c>
      <c r="E123" s="22" t="s">
        <v>39</v>
      </c>
      <c r="F123" s="24" t="n">
        <v>10</v>
      </c>
      <c r="G123" s="25" t="n">
        <v>1200</v>
      </c>
      <c r="H123" s="26" t="n">
        <v>0</v>
      </c>
      <c r="I123" s="27" t="n">
        <f aca="false">F123*G123*(1-H123)</f>
        <v>12000</v>
      </c>
    </row>
    <row r="124" customFormat="false" ht="15" hidden="false" customHeight="false" outlineLevel="0" collapsed="false">
      <c r="A124" s="22" t="s">
        <v>172</v>
      </c>
      <c r="B124" s="23" t="n">
        <v>45851</v>
      </c>
      <c r="C124" s="22" t="s">
        <v>11</v>
      </c>
      <c r="D124" s="22" t="s">
        <v>28</v>
      </c>
      <c r="E124" s="22" t="s">
        <v>37</v>
      </c>
      <c r="F124" s="24" t="n">
        <v>5</v>
      </c>
      <c r="G124" s="25" t="n">
        <v>8500</v>
      </c>
      <c r="H124" s="26" t="n">
        <v>0.05</v>
      </c>
      <c r="I124" s="27" t="n">
        <f aca="false">F124*G124*(1-H124)</f>
        <v>40375</v>
      </c>
    </row>
    <row r="125" customFormat="false" ht="15" hidden="false" customHeight="false" outlineLevel="0" collapsed="false">
      <c r="A125" s="22" t="s">
        <v>173</v>
      </c>
      <c r="B125" s="23" t="n">
        <v>45852</v>
      </c>
      <c r="C125" s="22" t="s">
        <v>15</v>
      </c>
      <c r="D125" s="22" t="s">
        <v>27</v>
      </c>
      <c r="E125" s="22" t="s">
        <v>36</v>
      </c>
      <c r="F125" s="24" t="n">
        <v>3</v>
      </c>
      <c r="G125" s="25" t="n">
        <v>3500</v>
      </c>
      <c r="H125" s="26" t="n">
        <v>0.05</v>
      </c>
      <c r="I125" s="27" t="n">
        <f aca="false">F125*G125*(1-H125)</f>
        <v>9975</v>
      </c>
    </row>
    <row r="126" customFormat="false" ht="15" hidden="false" customHeight="false" outlineLevel="0" collapsed="false">
      <c r="A126" s="22" t="s">
        <v>174</v>
      </c>
      <c r="B126" s="23" t="n">
        <v>45853</v>
      </c>
      <c r="C126" s="22" t="s">
        <v>11</v>
      </c>
      <c r="D126" s="22" t="s">
        <v>30</v>
      </c>
      <c r="E126" s="22" t="s">
        <v>41</v>
      </c>
      <c r="F126" s="24" t="n">
        <v>5</v>
      </c>
      <c r="G126" s="25" t="n">
        <v>2200</v>
      </c>
      <c r="H126" s="26" t="n">
        <v>0.1</v>
      </c>
      <c r="I126" s="27" t="n">
        <f aca="false">F126*G126*(1-H126)</f>
        <v>9900</v>
      </c>
    </row>
    <row r="127" customFormat="false" ht="15" hidden="false" customHeight="false" outlineLevel="0" collapsed="false">
      <c r="A127" s="22" t="s">
        <v>175</v>
      </c>
      <c r="B127" s="23" t="n">
        <v>45854</v>
      </c>
      <c r="C127" s="22" t="s">
        <v>13</v>
      </c>
      <c r="D127" s="22" t="s">
        <v>29</v>
      </c>
      <c r="E127" s="22" t="s">
        <v>39</v>
      </c>
      <c r="F127" s="24" t="n">
        <v>10</v>
      </c>
      <c r="G127" s="25" t="n">
        <v>1200</v>
      </c>
      <c r="H127" s="26" t="n">
        <v>0.1</v>
      </c>
      <c r="I127" s="27" t="n">
        <f aca="false">F127*G127*(1-H127)</f>
        <v>10800</v>
      </c>
    </row>
    <row r="128" customFormat="false" ht="15" hidden="false" customHeight="false" outlineLevel="0" collapsed="false">
      <c r="A128" s="22" t="s">
        <v>176</v>
      </c>
      <c r="B128" s="23" t="n">
        <v>45854</v>
      </c>
      <c r="C128" s="22" t="s">
        <v>15</v>
      </c>
      <c r="D128" s="22" t="s">
        <v>30</v>
      </c>
      <c r="E128" s="22" t="s">
        <v>42</v>
      </c>
      <c r="F128" s="24" t="n">
        <v>7</v>
      </c>
      <c r="G128" s="25" t="n">
        <v>900</v>
      </c>
      <c r="H128" s="26" t="n">
        <v>0.05</v>
      </c>
      <c r="I128" s="27" t="n">
        <f aca="false">F128*G128*(1-H128)</f>
        <v>5985</v>
      </c>
    </row>
    <row r="129" customFormat="false" ht="15" hidden="false" customHeight="false" outlineLevel="0" collapsed="false">
      <c r="A129" s="22" t="s">
        <v>177</v>
      </c>
      <c r="B129" s="23" t="n">
        <v>45854</v>
      </c>
      <c r="C129" s="22" t="s">
        <v>11</v>
      </c>
      <c r="D129" s="22" t="s">
        <v>27</v>
      </c>
      <c r="E129" s="22" t="s">
        <v>36</v>
      </c>
      <c r="F129" s="24" t="n">
        <v>5</v>
      </c>
      <c r="G129" s="25" t="n">
        <v>3500</v>
      </c>
      <c r="H129" s="26" t="n">
        <v>0</v>
      </c>
      <c r="I129" s="27" t="n">
        <f aca="false">F129*G129*(1-H129)</f>
        <v>17500</v>
      </c>
    </row>
    <row r="130" customFormat="false" ht="15" hidden="false" customHeight="false" outlineLevel="0" collapsed="false">
      <c r="A130" s="22" t="s">
        <v>178</v>
      </c>
      <c r="B130" s="23" t="n">
        <v>45854</v>
      </c>
      <c r="C130" s="22" t="s">
        <v>13</v>
      </c>
      <c r="D130" s="22" t="s">
        <v>30</v>
      </c>
      <c r="E130" s="22" t="s">
        <v>43</v>
      </c>
      <c r="F130" s="24" t="n">
        <v>6</v>
      </c>
      <c r="G130" s="25" t="n">
        <v>3200</v>
      </c>
      <c r="H130" s="26" t="n">
        <v>0</v>
      </c>
      <c r="I130" s="27" t="n">
        <f aca="false">F130*G130*(1-H130)</f>
        <v>19200</v>
      </c>
    </row>
    <row r="131" customFormat="false" ht="15" hidden="false" customHeight="false" outlineLevel="0" collapsed="false">
      <c r="A131" s="22" t="s">
        <v>179</v>
      </c>
      <c r="B131" s="23" t="n">
        <v>45856</v>
      </c>
      <c r="C131" s="22" t="s">
        <v>15</v>
      </c>
      <c r="D131" s="22" t="s">
        <v>27</v>
      </c>
      <c r="E131" s="22" t="s">
        <v>34</v>
      </c>
      <c r="F131" s="24" t="n">
        <v>4</v>
      </c>
      <c r="G131" s="25" t="n">
        <v>55000</v>
      </c>
      <c r="H131" s="26" t="n">
        <v>0.15</v>
      </c>
      <c r="I131" s="27" t="n">
        <f aca="false">F131*G131*(1-H131)</f>
        <v>187000</v>
      </c>
    </row>
    <row r="132" customFormat="false" ht="15" hidden="false" customHeight="false" outlineLevel="0" collapsed="false">
      <c r="A132" s="22" t="s">
        <v>180</v>
      </c>
      <c r="B132" s="23" t="n">
        <v>45858</v>
      </c>
      <c r="C132" s="22" t="s">
        <v>11</v>
      </c>
      <c r="D132" s="22" t="s">
        <v>28</v>
      </c>
      <c r="E132" s="22" t="s">
        <v>38</v>
      </c>
      <c r="F132" s="24" t="n">
        <v>9</v>
      </c>
      <c r="G132" s="25" t="n">
        <v>18000</v>
      </c>
      <c r="H132" s="26" t="n">
        <v>0</v>
      </c>
      <c r="I132" s="27" t="n">
        <f aca="false">F132*G132*(1-H132)</f>
        <v>162000</v>
      </c>
    </row>
    <row r="133" customFormat="false" ht="15" hidden="false" customHeight="false" outlineLevel="0" collapsed="false">
      <c r="A133" s="22" t="s">
        <v>181</v>
      </c>
      <c r="B133" s="23" t="n">
        <v>45861</v>
      </c>
      <c r="C133" s="22" t="s">
        <v>15</v>
      </c>
      <c r="D133" s="22" t="s">
        <v>28</v>
      </c>
      <c r="E133" s="22" t="s">
        <v>38</v>
      </c>
      <c r="F133" s="24" t="n">
        <v>12</v>
      </c>
      <c r="G133" s="25" t="n">
        <v>18000</v>
      </c>
      <c r="H133" s="26" t="n">
        <v>0.1</v>
      </c>
      <c r="I133" s="27" t="n">
        <f aca="false">F133*G133*(1-H133)</f>
        <v>194400</v>
      </c>
    </row>
    <row r="134" customFormat="false" ht="15" hidden="false" customHeight="false" outlineLevel="0" collapsed="false">
      <c r="A134" s="22" t="s">
        <v>182</v>
      </c>
      <c r="B134" s="23" t="n">
        <v>45861</v>
      </c>
      <c r="C134" s="22" t="s">
        <v>17</v>
      </c>
      <c r="D134" s="22" t="s">
        <v>30</v>
      </c>
      <c r="E134" s="22" t="s">
        <v>42</v>
      </c>
      <c r="F134" s="24" t="n">
        <v>5</v>
      </c>
      <c r="G134" s="25" t="n">
        <v>900</v>
      </c>
      <c r="H134" s="26" t="n">
        <v>0</v>
      </c>
      <c r="I134" s="27" t="n">
        <f aca="false">F134*G134*(1-H134)</f>
        <v>4500</v>
      </c>
    </row>
    <row r="135" customFormat="false" ht="15" hidden="false" customHeight="false" outlineLevel="0" collapsed="false">
      <c r="A135" s="22" t="s">
        <v>183</v>
      </c>
      <c r="B135" s="23" t="n">
        <v>45865</v>
      </c>
      <c r="C135" s="22" t="s">
        <v>15</v>
      </c>
      <c r="D135" s="22" t="s">
        <v>27</v>
      </c>
      <c r="E135" s="22" t="s">
        <v>35</v>
      </c>
      <c r="F135" s="24" t="n">
        <v>6</v>
      </c>
      <c r="G135" s="25" t="n">
        <v>24000</v>
      </c>
      <c r="H135" s="26" t="n">
        <v>0.15</v>
      </c>
      <c r="I135" s="27" t="n">
        <f aca="false">F135*G135*(1-H135)</f>
        <v>122400</v>
      </c>
    </row>
    <row r="136" customFormat="false" ht="15" hidden="false" customHeight="false" outlineLevel="0" collapsed="false">
      <c r="A136" s="22" t="s">
        <v>184</v>
      </c>
      <c r="B136" s="23" t="n">
        <v>45866</v>
      </c>
      <c r="C136" s="22" t="s">
        <v>17</v>
      </c>
      <c r="D136" s="22" t="s">
        <v>30</v>
      </c>
      <c r="E136" s="22" t="s">
        <v>42</v>
      </c>
      <c r="F136" s="24" t="n">
        <v>9</v>
      </c>
      <c r="G136" s="25" t="n">
        <v>900</v>
      </c>
      <c r="H136" s="26" t="n">
        <v>0.05</v>
      </c>
      <c r="I136" s="27" t="n">
        <f aca="false">F136*G136*(1-H136)</f>
        <v>7695</v>
      </c>
    </row>
    <row r="137" customFormat="false" ht="15" hidden="false" customHeight="false" outlineLevel="0" collapsed="false">
      <c r="A137" s="22" t="s">
        <v>185</v>
      </c>
      <c r="B137" s="23" t="n">
        <v>45867</v>
      </c>
      <c r="C137" s="22" t="s">
        <v>11</v>
      </c>
      <c r="D137" s="22" t="s">
        <v>30</v>
      </c>
      <c r="E137" s="22" t="s">
        <v>41</v>
      </c>
      <c r="F137" s="24" t="n">
        <v>1</v>
      </c>
      <c r="G137" s="25" t="n">
        <v>2200</v>
      </c>
      <c r="H137" s="26" t="n">
        <v>0</v>
      </c>
      <c r="I137" s="27" t="n">
        <f aca="false">F137*G137*(1-H137)</f>
        <v>2200</v>
      </c>
    </row>
    <row r="138" customFormat="false" ht="15" hidden="false" customHeight="false" outlineLevel="0" collapsed="false">
      <c r="A138" s="22" t="s">
        <v>186</v>
      </c>
      <c r="B138" s="23" t="n">
        <v>45867</v>
      </c>
      <c r="C138" s="22" t="s">
        <v>11</v>
      </c>
      <c r="D138" s="22" t="s">
        <v>27</v>
      </c>
      <c r="E138" s="22" t="s">
        <v>34</v>
      </c>
      <c r="F138" s="24" t="n">
        <v>9</v>
      </c>
      <c r="G138" s="25" t="n">
        <v>55000</v>
      </c>
      <c r="H138" s="26" t="n">
        <v>0.15</v>
      </c>
      <c r="I138" s="27" t="n">
        <f aca="false">F138*G138*(1-H138)</f>
        <v>420750</v>
      </c>
    </row>
    <row r="139" customFormat="false" ht="15" hidden="false" customHeight="false" outlineLevel="0" collapsed="false">
      <c r="A139" s="22" t="s">
        <v>187</v>
      </c>
      <c r="B139" s="23" t="n">
        <v>45878</v>
      </c>
      <c r="C139" s="22" t="s">
        <v>17</v>
      </c>
      <c r="D139" s="22" t="s">
        <v>30</v>
      </c>
      <c r="E139" s="22" t="s">
        <v>43</v>
      </c>
      <c r="F139" s="24" t="n">
        <v>11</v>
      </c>
      <c r="G139" s="25" t="n">
        <v>3200</v>
      </c>
      <c r="H139" s="26" t="n">
        <v>0</v>
      </c>
      <c r="I139" s="27" t="n">
        <f aca="false">F139*G139*(1-H139)</f>
        <v>35200</v>
      </c>
    </row>
    <row r="140" customFormat="false" ht="15" hidden="false" customHeight="false" outlineLevel="0" collapsed="false">
      <c r="A140" s="22" t="s">
        <v>188</v>
      </c>
      <c r="B140" s="23" t="n">
        <v>45879</v>
      </c>
      <c r="C140" s="22" t="s">
        <v>13</v>
      </c>
      <c r="D140" s="22" t="s">
        <v>27</v>
      </c>
      <c r="E140" s="22" t="s">
        <v>35</v>
      </c>
      <c r="F140" s="24" t="n">
        <v>3</v>
      </c>
      <c r="G140" s="25" t="n">
        <v>24000</v>
      </c>
      <c r="H140" s="26" t="n">
        <v>0</v>
      </c>
      <c r="I140" s="27" t="n">
        <f aca="false">F140*G140*(1-H140)</f>
        <v>72000</v>
      </c>
    </row>
    <row r="141" customFormat="false" ht="15" hidden="false" customHeight="false" outlineLevel="0" collapsed="false">
      <c r="A141" s="22" t="s">
        <v>189</v>
      </c>
      <c r="B141" s="23" t="n">
        <v>45881</v>
      </c>
      <c r="C141" s="22" t="s">
        <v>17</v>
      </c>
      <c r="D141" s="22" t="s">
        <v>28</v>
      </c>
      <c r="E141" s="22" t="s">
        <v>37</v>
      </c>
      <c r="F141" s="24" t="n">
        <v>5</v>
      </c>
      <c r="G141" s="25" t="n">
        <v>8500</v>
      </c>
      <c r="H141" s="26" t="n">
        <v>0</v>
      </c>
      <c r="I141" s="27" t="n">
        <f aca="false">F141*G141*(1-H141)</f>
        <v>42500</v>
      </c>
    </row>
    <row r="142" customFormat="false" ht="15" hidden="false" customHeight="false" outlineLevel="0" collapsed="false">
      <c r="A142" s="22" t="s">
        <v>190</v>
      </c>
      <c r="B142" s="23" t="n">
        <v>45882</v>
      </c>
      <c r="C142" s="22" t="s">
        <v>11</v>
      </c>
      <c r="D142" s="22" t="s">
        <v>27</v>
      </c>
      <c r="E142" s="22" t="s">
        <v>35</v>
      </c>
      <c r="F142" s="24" t="n">
        <v>10</v>
      </c>
      <c r="G142" s="25" t="n">
        <v>24000</v>
      </c>
      <c r="H142" s="26" t="n">
        <v>0.15</v>
      </c>
      <c r="I142" s="27" t="n">
        <f aca="false">F142*G142*(1-H142)</f>
        <v>204000</v>
      </c>
    </row>
    <row r="143" customFormat="false" ht="15" hidden="false" customHeight="false" outlineLevel="0" collapsed="false">
      <c r="A143" s="22" t="s">
        <v>191</v>
      </c>
      <c r="B143" s="23" t="n">
        <v>45883</v>
      </c>
      <c r="C143" s="22" t="s">
        <v>13</v>
      </c>
      <c r="D143" s="22" t="s">
        <v>28</v>
      </c>
      <c r="E143" s="22" t="s">
        <v>38</v>
      </c>
      <c r="F143" s="24" t="n">
        <v>10</v>
      </c>
      <c r="G143" s="25" t="n">
        <v>18000</v>
      </c>
      <c r="H143" s="26" t="n">
        <v>0.1</v>
      </c>
      <c r="I143" s="27" t="n">
        <f aca="false">F143*G143*(1-H143)</f>
        <v>162000</v>
      </c>
    </row>
    <row r="144" customFormat="false" ht="15" hidden="false" customHeight="false" outlineLevel="0" collapsed="false">
      <c r="A144" s="22" t="s">
        <v>192</v>
      </c>
      <c r="B144" s="23" t="n">
        <v>45885</v>
      </c>
      <c r="C144" s="22" t="s">
        <v>13</v>
      </c>
      <c r="D144" s="22" t="s">
        <v>30</v>
      </c>
      <c r="E144" s="22" t="s">
        <v>42</v>
      </c>
      <c r="F144" s="24" t="n">
        <v>8</v>
      </c>
      <c r="G144" s="25" t="n">
        <v>900</v>
      </c>
      <c r="H144" s="26" t="n">
        <v>0.05</v>
      </c>
      <c r="I144" s="27" t="n">
        <f aca="false">F144*G144*(1-H144)</f>
        <v>6840</v>
      </c>
    </row>
    <row r="145" customFormat="false" ht="15" hidden="false" customHeight="false" outlineLevel="0" collapsed="false">
      <c r="A145" s="22" t="s">
        <v>193</v>
      </c>
      <c r="B145" s="23" t="n">
        <v>45886</v>
      </c>
      <c r="C145" s="22" t="s">
        <v>15</v>
      </c>
      <c r="D145" s="22" t="s">
        <v>30</v>
      </c>
      <c r="E145" s="22" t="s">
        <v>42</v>
      </c>
      <c r="F145" s="24" t="n">
        <v>10</v>
      </c>
      <c r="G145" s="25" t="n">
        <v>900</v>
      </c>
      <c r="H145" s="26" t="n">
        <v>0.05</v>
      </c>
      <c r="I145" s="27" t="n">
        <f aca="false">F145*G145*(1-H145)</f>
        <v>8550</v>
      </c>
    </row>
    <row r="146" customFormat="false" ht="15" hidden="false" customHeight="false" outlineLevel="0" collapsed="false">
      <c r="A146" s="22" t="s">
        <v>194</v>
      </c>
      <c r="B146" s="23" t="n">
        <v>45892</v>
      </c>
      <c r="C146" s="22" t="s">
        <v>11</v>
      </c>
      <c r="D146" s="22" t="s">
        <v>30</v>
      </c>
      <c r="E146" s="22" t="s">
        <v>42</v>
      </c>
      <c r="F146" s="24" t="n">
        <v>11</v>
      </c>
      <c r="G146" s="25" t="n">
        <v>900</v>
      </c>
      <c r="H146" s="26" t="n">
        <v>0.05</v>
      </c>
      <c r="I146" s="27" t="n">
        <f aca="false">F146*G146*(1-H146)</f>
        <v>9405</v>
      </c>
    </row>
    <row r="147" customFormat="false" ht="15" hidden="false" customHeight="false" outlineLevel="0" collapsed="false">
      <c r="A147" s="22" t="s">
        <v>195</v>
      </c>
      <c r="B147" s="23" t="n">
        <v>45892</v>
      </c>
      <c r="C147" s="22" t="s">
        <v>15</v>
      </c>
      <c r="D147" s="22" t="s">
        <v>30</v>
      </c>
      <c r="E147" s="22" t="s">
        <v>41</v>
      </c>
      <c r="F147" s="24" t="n">
        <v>10</v>
      </c>
      <c r="G147" s="25" t="n">
        <v>2200</v>
      </c>
      <c r="H147" s="26" t="n">
        <v>0.15</v>
      </c>
      <c r="I147" s="27" t="n">
        <f aca="false">F147*G147*(1-H147)</f>
        <v>18700</v>
      </c>
    </row>
    <row r="148" customFormat="false" ht="15" hidden="false" customHeight="false" outlineLevel="0" collapsed="false">
      <c r="A148" s="22" t="s">
        <v>196</v>
      </c>
      <c r="B148" s="23" t="n">
        <v>45893</v>
      </c>
      <c r="C148" s="22" t="s">
        <v>15</v>
      </c>
      <c r="D148" s="22" t="s">
        <v>27</v>
      </c>
      <c r="E148" s="22" t="s">
        <v>35</v>
      </c>
      <c r="F148" s="24" t="n">
        <v>3</v>
      </c>
      <c r="G148" s="25" t="n">
        <v>24000</v>
      </c>
      <c r="H148" s="26" t="n">
        <v>0.15</v>
      </c>
      <c r="I148" s="27" t="n">
        <f aca="false">F148*G148*(1-H148)</f>
        <v>61200</v>
      </c>
    </row>
    <row r="149" customFormat="false" ht="15" hidden="false" customHeight="false" outlineLevel="0" collapsed="false">
      <c r="A149" s="22" t="s">
        <v>197</v>
      </c>
      <c r="B149" s="23" t="n">
        <v>45894</v>
      </c>
      <c r="C149" s="22" t="s">
        <v>17</v>
      </c>
      <c r="D149" s="22" t="s">
        <v>30</v>
      </c>
      <c r="E149" s="22" t="s">
        <v>41</v>
      </c>
      <c r="F149" s="24" t="n">
        <v>8</v>
      </c>
      <c r="G149" s="25" t="n">
        <v>2200</v>
      </c>
      <c r="H149" s="26" t="n">
        <v>0.05</v>
      </c>
      <c r="I149" s="27" t="n">
        <f aca="false">F149*G149*(1-H149)</f>
        <v>16720</v>
      </c>
    </row>
    <row r="150" customFormat="false" ht="15" hidden="false" customHeight="false" outlineLevel="0" collapsed="false">
      <c r="A150" s="22" t="s">
        <v>198</v>
      </c>
      <c r="B150" s="23" t="n">
        <v>45894</v>
      </c>
      <c r="C150" s="22" t="s">
        <v>11</v>
      </c>
      <c r="D150" s="22" t="s">
        <v>30</v>
      </c>
      <c r="E150" s="22" t="s">
        <v>42</v>
      </c>
      <c r="F150" s="24" t="n">
        <v>11</v>
      </c>
      <c r="G150" s="25" t="n">
        <v>900</v>
      </c>
      <c r="H150" s="26" t="n">
        <v>0.05</v>
      </c>
      <c r="I150" s="27" t="n">
        <f aca="false">F150*G150*(1-H150)</f>
        <v>9405</v>
      </c>
    </row>
    <row r="151" customFormat="false" ht="15" hidden="false" customHeight="false" outlineLevel="0" collapsed="false">
      <c r="A151" s="22" t="s">
        <v>199</v>
      </c>
      <c r="B151" s="23" t="n">
        <v>45895</v>
      </c>
      <c r="C151" s="22" t="s">
        <v>11</v>
      </c>
      <c r="D151" s="22" t="s">
        <v>27</v>
      </c>
      <c r="E151" s="22" t="s">
        <v>35</v>
      </c>
      <c r="F151" s="24" t="n">
        <v>11</v>
      </c>
      <c r="G151" s="25" t="n">
        <v>24000</v>
      </c>
      <c r="H151" s="26" t="n">
        <v>0.05</v>
      </c>
      <c r="I151" s="27" t="n">
        <f aca="false">F151*G151*(1-H151)</f>
        <v>250800</v>
      </c>
    </row>
    <row r="152" customFormat="false" ht="15" hidden="false" customHeight="false" outlineLevel="0" collapsed="false">
      <c r="A152" s="22" t="s">
        <v>200</v>
      </c>
      <c r="B152" s="23" t="n">
        <v>45896</v>
      </c>
      <c r="C152" s="22" t="s">
        <v>17</v>
      </c>
      <c r="D152" s="22" t="s">
        <v>27</v>
      </c>
      <c r="E152" s="22" t="s">
        <v>35</v>
      </c>
      <c r="F152" s="24" t="n">
        <v>9</v>
      </c>
      <c r="G152" s="25" t="n">
        <v>24000</v>
      </c>
      <c r="H152" s="26" t="n">
        <v>0.05</v>
      </c>
      <c r="I152" s="27" t="n">
        <f aca="false">F152*G152*(1-H152)</f>
        <v>205200</v>
      </c>
    </row>
    <row r="153" customFormat="false" ht="15" hidden="false" customHeight="false" outlineLevel="0" collapsed="false">
      <c r="A153" s="22" t="s">
        <v>201</v>
      </c>
      <c r="B153" s="23" t="n">
        <v>45896</v>
      </c>
      <c r="C153" s="22" t="s">
        <v>15</v>
      </c>
      <c r="D153" s="22" t="s">
        <v>29</v>
      </c>
      <c r="E153" s="22" t="s">
        <v>39</v>
      </c>
      <c r="F153" s="24" t="n">
        <v>11</v>
      </c>
      <c r="G153" s="25" t="n">
        <v>1200</v>
      </c>
      <c r="H153" s="26" t="n">
        <v>0.05</v>
      </c>
      <c r="I153" s="27" t="n">
        <f aca="false">F153*G153*(1-H153)</f>
        <v>12540</v>
      </c>
    </row>
    <row r="154" customFormat="false" ht="15" hidden="false" customHeight="false" outlineLevel="0" collapsed="false">
      <c r="A154" s="22" t="s">
        <v>202</v>
      </c>
      <c r="B154" s="23" t="n">
        <v>45896</v>
      </c>
      <c r="C154" s="22" t="s">
        <v>13</v>
      </c>
      <c r="D154" s="22" t="s">
        <v>30</v>
      </c>
      <c r="E154" s="22" t="s">
        <v>41</v>
      </c>
      <c r="F154" s="24" t="n">
        <v>10</v>
      </c>
      <c r="G154" s="25" t="n">
        <v>2200</v>
      </c>
      <c r="H154" s="26" t="n">
        <v>0.05</v>
      </c>
      <c r="I154" s="27" t="n">
        <f aca="false">F154*G154*(1-H154)</f>
        <v>20900</v>
      </c>
    </row>
    <row r="155" customFormat="false" ht="15" hidden="false" customHeight="false" outlineLevel="0" collapsed="false">
      <c r="A155" s="22" t="s">
        <v>203</v>
      </c>
      <c r="B155" s="23" t="n">
        <v>45897</v>
      </c>
      <c r="C155" s="22" t="s">
        <v>17</v>
      </c>
      <c r="D155" s="22" t="s">
        <v>30</v>
      </c>
      <c r="E155" s="22" t="s">
        <v>43</v>
      </c>
      <c r="F155" s="24" t="n">
        <v>8</v>
      </c>
      <c r="G155" s="25" t="n">
        <v>3200</v>
      </c>
      <c r="H155" s="26" t="n">
        <v>0</v>
      </c>
      <c r="I155" s="27" t="n">
        <f aca="false">F155*G155*(1-H155)</f>
        <v>25600</v>
      </c>
    </row>
    <row r="156" customFormat="false" ht="15" hidden="false" customHeight="false" outlineLevel="0" collapsed="false">
      <c r="A156" s="22" t="s">
        <v>204</v>
      </c>
      <c r="B156" s="23" t="n">
        <v>45898</v>
      </c>
      <c r="C156" s="22" t="s">
        <v>15</v>
      </c>
      <c r="D156" s="22" t="s">
        <v>27</v>
      </c>
      <c r="E156" s="22" t="s">
        <v>35</v>
      </c>
      <c r="F156" s="24" t="n">
        <v>1</v>
      </c>
      <c r="G156" s="25" t="n">
        <v>24000</v>
      </c>
      <c r="H156" s="26" t="n">
        <v>0.1</v>
      </c>
      <c r="I156" s="27" t="n">
        <f aca="false">F156*G156*(1-H156)</f>
        <v>21600</v>
      </c>
    </row>
    <row r="157" customFormat="false" ht="15" hidden="false" customHeight="false" outlineLevel="0" collapsed="false">
      <c r="A157" s="22" t="s">
        <v>205</v>
      </c>
      <c r="B157" s="23" t="n">
        <v>45901</v>
      </c>
      <c r="C157" s="22" t="s">
        <v>11</v>
      </c>
      <c r="D157" s="22" t="s">
        <v>28</v>
      </c>
      <c r="E157" s="22" t="s">
        <v>38</v>
      </c>
      <c r="F157" s="24" t="n">
        <v>6</v>
      </c>
      <c r="G157" s="25" t="n">
        <v>18000</v>
      </c>
      <c r="H157" s="26" t="n">
        <v>0.05</v>
      </c>
      <c r="I157" s="27" t="n">
        <f aca="false">F157*G157*(1-H157)</f>
        <v>102600</v>
      </c>
    </row>
    <row r="158" customFormat="false" ht="15" hidden="false" customHeight="false" outlineLevel="0" collapsed="false">
      <c r="A158" s="22" t="s">
        <v>206</v>
      </c>
      <c r="B158" s="23" t="n">
        <v>45903</v>
      </c>
      <c r="C158" s="22" t="s">
        <v>13</v>
      </c>
      <c r="D158" s="22" t="s">
        <v>30</v>
      </c>
      <c r="E158" s="22" t="s">
        <v>43</v>
      </c>
      <c r="F158" s="24" t="n">
        <v>9</v>
      </c>
      <c r="G158" s="25" t="n">
        <v>3200</v>
      </c>
      <c r="H158" s="26" t="n">
        <v>0.1</v>
      </c>
      <c r="I158" s="27" t="n">
        <f aca="false">F158*G158*(1-H158)</f>
        <v>25920</v>
      </c>
    </row>
    <row r="159" customFormat="false" ht="15" hidden="false" customHeight="false" outlineLevel="0" collapsed="false">
      <c r="A159" s="22" t="s">
        <v>207</v>
      </c>
      <c r="B159" s="23" t="n">
        <v>45904</v>
      </c>
      <c r="C159" s="22" t="s">
        <v>13</v>
      </c>
      <c r="D159" s="22" t="s">
        <v>30</v>
      </c>
      <c r="E159" s="22" t="s">
        <v>42</v>
      </c>
      <c r="F159" s="24" t="n">
        <v>11</v>
      </c>
      <c r="G159" s="25" t="n">
        <v>900</v>
      </c>
      <c r="H159" s="26" t="n">
        <v>0.05</v>
      </c>
      <c r="I159" s="27" t="n">
        <f aca="false">F159*G159*(1-H159)</f>
        <v>9405</v>
      </c>
    </row>
    <row r="160" customFormat="false" ht="15" hidden="false" customHeight="false" outlineLevel="0" collapsed="false">
      <c r="A160" s="22" t="s">
        <v>208</v>
      </c>
      <c r="B160" s="23" t="n">
        <v>45908</v>
      </c>
      <c r="C160" s="22" t="s">
        <v>15</v>
      </c>
      <c r="D160" s="22" t="s">
        <v>27</v>
      </c>
      <c r="E160" s="22" t="s">
        <v>34</v>
      </c>
      <c r="F160" s="24" t="n">
        <v>7</v>
      </c>
      <c r="G160" s="25" t="n">
        <v>55000</v>
      </c>
      <c r="H160" s="26" t="n">
        <v>0.05</v>
      </c>
      <c r="I160" s="27" t="n">
        <f aca="false">F160*G160*(1-H160)</f>
        <v>365750</v>
      </c>
    </row>
    <row r="161" customFormat="false" ht="15" hidden="false" customHeight="false" outlineLevel="0" collapsed="false">
      <c r="A161" s="22" t="s">
        <v>209</v>
      </c>
      <c r="B161" s="23" t="n">
        <v>45909</v>
      </c>
      <c r="C161" s="22" t="s">
        <v>17</v>
      </c>
      <c r="D161" s="22" t="s">
        <v>27</v>
      </c>
      <c r="E161" s="22" t="s">
        <v>36</v>
      </c>
      <c r="F161" s="24" t="n">
        <v>2</v>
      </c>
      <c r="G161" s="25" t="n">
        <v>3500</v>
      </c>
      <c r="H161" s="26" t="n">
        <v>0</v>
      </c>
      <c r="I161" s="27" t="n">
        <f aca="false">F161*G161*(1-H161)</f>
        <v>7000</v>
      </c>
    </row>
    <row r="162" customFormat="false" ht="15" hidden="false" customHeight="false" outlineLevel="0" collapsed="false">
      <c r="A162" s="22" t="s">
        <v>210</v>
      </c>
      <c r="B162" s="23" t="n">
        <v>45909</v>
      </c>
      <c r="C162" s="22" t="s">
        <v>11</v>
      </c>
      <c r="D162" s="22" t="s">
        <v>28</v>
      </c>
      <c r="E162" s="22" t="s">
        <v>38</v>
      </c>
      <c r="F162" s="24" t="n">
        <v>11</v>
      </c>
      <c r="G162" s="25" t="n">
        <v>18000</v>
      </c>
      <c r="H162" s="26" t="n">
        <v>0.05</v>
      </c>
      <c r="I162" s="27" t="n">
        <f aca="false">F162*G162*(1-H162)</f>
        <v>188100</v>
      </c>
    </row>
    <row r="163" customFormat="false" ht="15" hidden="false" customHeight="false" outlineLevel="0" collapsed="false">
      <c r="A163" s="22" t="s">
        <v>211</v>
      </c>
      <c r="B163" s="23" t="n">
        <v>45909</v>
      </c>
      <c r="C163" s="22" t="s">
        <v>15</v>
      </c>
      <c r="D163" s="22" t="s">
        <v>27</v>
      </c>
      <c r="E163" s="22" t="s">
        <v>36</v>
      </c>
      <c r="F163" s="24" t="n">
        <v>7</v>
      </c>
      <c r="G163" s="25" t="n">
        <v>3500</v>
      </c>
      <c r="H163" s="26" t="n">
        <v>0</v>
      </c>
      <c r="I163" s="27" t="n">
        <f aca="false">F163*G163*(1-H163)</f>
        <v>24500</v>
      </c>
    </row>
    <row r="164" customFormat="false" ht="15" hidden="false" customHeight="false" outlineLevel="0" collapsed="false">
      <c r="A164" s="22" t="s">
        <v>212</v>
      </c>
      <c r="B164" s="23" t="n">
        <v>45911</v>
      </c>
      <c r="C164" s="22" t="s">
        <v>15</v>
      </c>
      <c r="D164" s="22" t="s">
        <v>27</v>
      </c>
      <c r="E164" s="22" t="s">
        <v>35</v>
      </c>
      <c r="F164" s="24" t="n">
        <v>2</v>
      </c>
      <c r="G164" s="25" t="n">
        <v>24000</v>
      </c>
      <c r="H164" s="26" t="n">
        <v>0.15</v>
      </c>
      <c r="I164" s="27" t="n">
        <f aca="false">F164*G164*(1-H164)</f>
        <v>40800</v>
      </c>
    </row>
    <row r="165" customFormat="false" ht="15" hidden="false" customHeight="false" outlineLevel="0" collapsed="false">
      <c r="A165" s="22" t="s">
        <v>213</v>
      </c>
      <c r="B165" s="23" t="n">
        <v>45911</v>
      </c>
      <c r="C165" s="22" t="s">
        <v>13</v>
      </c>
      <c r="D165" s="22" t="s">
        <v>30</v>
      </c>
      <c r="E165" s="22" t="s">
        <v>42</v>
      </c>
      <c r="F165" s="24" t="n">
        <v>12</v>
      </c>
      <c r="G165" s="25" t="n">
        <v>900</v>
      </c>
      <c r="H165" s="26" t="n">
        <v>0.05</v>
      </c>
      <c r="I165" s="27" t="n">
        <f aca="false">F165*G165*(1-H165)</f>
        <v>10260</v>
      </c>
    </row>
    <row r="166" customFormat="false" ht="15" hidden="false" customHeight="false" outlineLevel="0" collapsed="false">
      <c r="A166" s="22" t="s">
        <v>214</v>
      </c>
      <c r="B166" s="23" t="n">
        <v>45912</v>
      </c>
      <c r="C166" s="22" t="s">
        <v>11</v>
      </c>
      <c r="D166" s="22" t="s">
        <v>30</v>
      </c>
      <c r="E166" s="22" t="s">
        <v>42</v>
      </c>
      <c r="F166" s="24" t="n">
        <v>1</v>
      </c>
      <c r="G166" s="25" t="n">
        <v>900</v>
      </c>
      <c r="H166" s="26" t="n">
        <v>0.1</v>
      </c>
      <c r="I166" s="27" t="n">
        <f aca="false">F166*G166*(1-H166)</f>
        <v>810</v>
      </c>
    </row>
    <row r="167" customFormat="false" ht="15" hidden="false" customHeight="false" outlineLevel="0" collapsed="false">
      <c r="A167" s="22" t="s">
        <v>215</v>
      </c>
      <c r="B167" s="23" t="n">
        <v>45913</v>
      </c>
      <c r="C167" s="22" t="s">
        <v>11</v>
      </c>
      <c r="D167" s="22" t="s">
        <v>29</v>
      </c>
      <c r="E167" s="22" t="s">
        <v>39</v>
      </c>
      <c r="F167" s="24" t="n">
        <v>5</v>
      </c>
      <c r="G167" s="25" t="n">
        <v>1200</v>
      </c>
      <c r="H167" s="26" t="n">
        <v>0.15</v>
      </c>
      <c r="I167" s="27" t="n">
        <f aca="false">F167*G167*(1-H167)</f>
        <v>5100</v>
      </c>
    </row>
    <row r="168" customFormat="false" ht="15" hidden="false" customHeight="false" outlineLevel="0" collapsed="false">
      <c r="A168" s="22" t="s">
        <v>216</v>
      </c>
      <c r="B168" s="23" t="n">
        <v>45915</v>
      </c>
      <c r="C168" s="22" t="s">
        <v>17</v>
      </c>
      <c r="D168" s="22" t="s">
        <v>29</v>
      </c>
      <c r="E168" s="22" t="s">
        <v>40</v>
      </c>
      <c r="F168" s="24" t="n">
        <v>7</v>
      </c>
      <c r="G168" s="25" t="n">
        <v>450</v>
      </c>
      <c r="H168" s="26" t="n">
        <v>0.05</v>
      </c>
      <c r="I168" s="27" t="n">
        <f aca="false">F168*G168*(1-H168)</f>
        <v>2992.5</v>
      </c>
    </row>
    <row r="169" customFormat="false" ht="15" hidden="false" customHeight="false" outlineLevel="0" collapsed="false">
      <c r="A169" s="22" t="s">
        <v>217</v>
      </c>
      <c r="B169" s="23" t="n">
        <v>45916</v>
      </c>
      <c r="C169" s="22" t="s">
        <v>17</v>
      </c>
      <c r="D169" s="22" t="s">
        <v>30</v>
      </c>
      <c r="E169" s="22" t="s">
        <v>43</v>
      </c>
      <c r="F169" s="24" t="n">
        <v>6</v>
      </c>
      <c r="G169" s="25" t="n">
        <v>3200</v>
      </c>
      <c r="H169" s="26" t="n">
        <v>0.05</v>
      </c>
      <c r="I169" s="27" t="n">
        <f aca="false">F169*G169*(1-H169)</f>
        <v>18240</v>
      </c>
    </row>
    <row r="170" customFormat="false" ht="15" hidden="false" customHeight="false" outlineLevel="0" collapsed="false">
      <c r="A170" s="22" t="s">
        <v>218</v>
      </c>
      <c r="B170" s="23" t="n">
        <v>45920</v>
      </c>
      <c r="C170" s="22" t="s">
        <v>13</v>
      </c>
      <c r="D170" s="22" t="s">
        <v>28</v>
      </c>
      <c r="E170" s="22" t="s">
        <v>38</v>
      </c>
      <c r="F170" s="24" t="n">
        <v>6</v>
      </c>
      <c r="G170" s="25" t="n">
        <v>18000</v>
      </c>
      <c r="H170" s="26" t="n">
        <v>0.05</v>
      </c>
      <c r="I170" s="27" t="n">
        <f aca="false">F170*G170*(1-H170)</f>
        <v>102600</v>
      </c>
    </row>
    <row r="171" customFormat="false" ht="15" hidden="false" customHeight="false" outlineLevel="0" collapsed="false">
      <c r="A171" s="22" t="s">
        <v>219</v>
      </c>
      <c r="B171" s="23" t="n">
        <v>45920</v>
      </c>
      <c r="C171" s="22" t="s">
        <v>17</v>
      </c>
      <c r="D171" s="22" t="s">
        <v>28</v>
      </c>
      <c r="E171" s="22" t="s">
        <v>37</v>
      </c>
      <c r="F171" s="24" t="n">
        <v>1</v>
      </c>
      <c r="G171" s="25" t="n">
        <v>8500</v>
      </c>
      <c r="H171" s="26" t="n">
        <v>0.05</v>
      </c>
      <c r="I171" s="27" t="n">
        <f aca="false">F171*G171*(1-H171)</f>
        <v>8075</v>
      </c>
    </row>
    <row r="172" customFormat="false" ht="15" hidden="false" customHeight="false" outlineLevel="0" collapsed="false">
      <c r="A172" s="22" t="s">
        <v>220</v>
      </c>
      <c r="B172" s="23" t="n">
        <v>45926</v>
      </c>
      <c r="C172" s="22" t="s">
        <v>11</v>
      </c>
      <c r="D172" s="22" t="s">
        <v>27</v>
      </c>
      <c r="E172" s="22" t="s">
        <v>36</v>
      </c>
      <c r="F172" s="24" t="n">
        <v>3</v>
      </c>
      <c r="G172" s="25" t="n">
        <v>3500</v>
      </c>
      <c r="H172" s="26" t="n">
        <v>0.05</v>
      </c>
      <c r="I172" s="27" t="n">
        <f aca="false">F172*G172*(1-H172)</f>
        <v>9975</v>
      </c>
    </row>
    <row r="173" customFormat="false" ht="15" hidden="false" customHeight="false" outlineLevel="0" collapsed="false">
      <c r="A173" s="22" t="s">
        <v>221</v>
      </c>
      <c r="B173" s="23" t="n">
        <v>45928</v>
      </c>
      <c r="C173" s="22" t="s">
        <v>13</v>
      </c>
      <c r="D173" s="22" t="s">
        <v>27</v>
      </c>
      <c r="E173" s="22" t="s">
        <v>34</v>
      </c>
      <c r="F173" s="24" t="n">
        <v>5</v>
      </c>
      <c r="G173" s="25" t="n">
        <v>55000</v>
      </c>
      <c r="H173" s="26" t="n">
        <v>0.05</v>
      </c>
      <c r="I173" s="27" t="n">
        <f aca="false">F173*G173*(1-H173)</f>
        <v>261250</v>
      </c>
    </row>
    <row r="174" customFormat="false" ht="15" hidden="false" customHeight="false" outlineLevel="0" collapsed="false">
      <c r="A174" s="22" t="s">
        <v>222</v>
      </c>
      <c r="B174" s="23" t="n">
        <v>45930</v>
      </c>
      <c r="C174" s="22" t="s">
        <v>11</v>
      </c>
      <c r="D174" s="22" t="s">
        <v>29</v>
      </c>
      <c r="E174" s="22" t="s">
        <v>40</v>
      </c>
      <c r="F174" s="24" t="n">
        <v>4</v>
      </c>
      <c r="G174" s="25" t="n">
        <v>450</v>
      </c>
      <c r="H174" s="26" t="n">
        <v>0</v>
      </c>
      <c r="I174" s="27" t="n">
        <f aca="false">F174*G174*(1-H174)</f>
        <v>1800</v>
      </c>
    </row>
    <row r="175" customFormat="false" ht="15" hidden="false" customHeight="false" outlineLevel="0" collapsed="false">
      <c r="A175" s="22" t="s">
        <v>223</v>
      </c>
      <c r="B175" s="23" t="n">
        <v>45930</v>
      </c>
      <c r="C175" s="22" t="s">
        <v>13</v>
      </c>
      <c r="D175" s="22" t="s">
        <v>27</v>
      </c>
      <c r="E175" s="22" t="s">
        <v>34</v>
      </c>
      <c r="F175" s="24" t="n">
        <v>9</v>
      </c>
      <c r="G175" s="25" t="n">
        <v>55000</v>
      </c>
      <c r="H175" s="26" t="n">
        <v>0.05</v>
      </c>
      <c r="I175" s="27" t="n">
        <f aca="false">F175*G175*(1-H175)</f>
        <v>470250</v>
      </c>
    </row>
    <row r="176" customFormat="false" ht="15" hidden="false" customHeight="false" outlineLevel="0" collapsed="false">
      <c r="A176" s="22" t="s">
        <v>224</v>
      </c>
      <c r="B176" s="23" t="n">
        <v>45931</v>
      </c>
      <c r="C176" s="22" t="s">
        <v>15</v>
      </c>
      <c r="D176" s="22" t="s">
        <v>30</v>
      </c>
      <c r="E176" s="22" t="s">
        <v>42</v>
      </c>
      <c r="F176" s="24" t="n">
        <v>10</v>
      </c>
      <c r="G176" s="25" t="n">
        <v>900</v>
      </c>
      <c r="H176" s="26" t="n">
        <v>0.15</v>
      </c>
      <c r="I176" s="27" t="n">
        <f aca="false">F176*G176*(1-H176)</f>
        <v>7650</v>
      </c>
    </row>
    <row r="177" customFormat="false" ht="15" hidden="false" customHeight="false" outlineLevel="0" collapsed="false">
      <c r="A177" s="22" t="s">
        <v>225</v>
      </c>
      <c r="B177" s="23" t="n">
        <v>45931</v>
      </c>
      <c r="C177" s="22" t="s">
        <v>15</v>
      </c>
      <c r="D177" s="22" t="s">
        <v>30</v>
      </c>
      <c r="E177" s="22" t="s">
        <v>41</v>
      </c>
      <c r="F177" s="24" t="n">
        <v>12</v>
      </c>
      <c r="G177" s="25" t="n">
        <v>2200</v>
      </c>
      <c r="H177" s="26" t="n">
        <v>0.05</v>
      </c>
      <c r="I177" s="27" t="n">
        <f aca="false">F177*G177*(1-H177)</f>
        <v>25080</v>
      </c>
    </row>
    <row r="178" customFormat="false" ht="15" hidden="false" customHeight="false" outlineLevel="0" collapsed="false">
      <c r="A178" s="22" t="s">
        <v>226</v>
      </c>
      <c r="B178" s="23" t="n">
        <v>45934</v>
      </c>
      <c r="C178" s="22" t="s">
        <v>17</v>
      </c>
      <c r="D178" s="22" t="s">
        <v>28</v>
      </c>
      <c r="E178" s="22" t="s">
        <v>37</v>
      </c>
      <c r="F178" s="24" t="n">
        <v>1</v>
      </c>
      <c r="G178" s="25" t="n">
        <v>8500</v>
      </c>
      <c r="H178" s="26" t="n">
        <v>0.15</v>
      </c>
      <c r="I178" s="27" t="n">
        <f aca="false">F178*G178*(1-H178)</f>
        <v>7225</v>
      </c>
    </row>
    <row r="179" customFormat="false" ht="15" hidden="false" customHeight="false" outlineLevel="0" collapsed="false">
      <c r="A179" s="22" t="s">
        <v>227</v>
      </c>
      <c r="B179" s="23" t="n">
        <v>45934</v>
      </c>
      <c r="C179" s="22" t="s">
        <v>15</v>
      </c>
      <c r="D179" s="22" t="s">
        <v>29</v>
      </c>
      <c r="E179" s="22" t="s">
        <v>40</v>
      </c>
      <c r="F179" s="24" t="n">
        <v>3</v>
      </c>
      <c r="G179" s="25" t="n">
        <v>450</v>
      </c>
      <c r="H179" s="26" t="n">
        <v>0.1</v>
      </c>
      <c r="I179" s="27" t="n">
        <f aca="false">F179*G179*(1-H179)</f>
        <v>1215</v>
      </c>
    </row>
    <row r="180" customFormat="false" ht="15" hidden="false" customHeight="false" outlineLevel="0" collapsed="false">
      <c r="A180" s="22" t="s">
        <v>228</v>
      </c>
      <c r="B180" s="23" t="n">
        <v>45934</v>
      </c>
      <c r="C180" s="22" t="s">
        <v>15</v>
      </c>
      <c r="D180" s="22" t="s">
        <v>27</v>
      </c>
      <c r="E180" s="22" t="s">
        <v>34</v>
      </c>
      <c r="F180" s="24" t="n">
        <v>3</v>
      </c>
      <c r="G180" s="25" t="n">
        <v>55000</v>
      </c>
      <c r="H180" s="26" t="n">
        <v>0.1</v>
      </c>
      <c r="I180" s="27" t="n">
        <f aca="false">F180*G180*(1-H180)</f>
        <v>148500</v>
      </c>
    </row>
    <row r="181" customFormat="false" ht="15" hidden="false" customHeight="false" outlineLevel="0" collapsed="false">
      <c r="A181" s="22" t="s">
        <v>229</v>
      </c>
      <c r="B181" s="23" t="n">
        <v>45936</v>
      </c>
      <c r="C181" s="22" t="s">
        <v>15</v>
      </c>
      <c r="D181" s="22" t="s">
        <v>30</v>
      </c>
      <c r="E181" s="22" t="s">
        <v>43</v>
      </c>
      <c r="F181" s="24" t="n">
        <v>8</v>
      </c>
      <c r="G181" s="25" t="n">
        <v>3200</v>
      </c>
      <c r="H181" s="26" t="n">
        <v>0.05</v>
      </c>
      <c r="I181" s="27" t="n">
        <f aca="false">F181*G181*(1-H181)</f>
        <v>24320</v>
      </c>
    </row>
    <row r="182" customFormat="false" ht="15" hidden="false" customHeight="false" outlineLevel="0" collapsed="false">
      <c r="A182" s="22" t="s">
        <v>230</v>
      </c>
      <c r="B182" s="23" t="n">
        <v>45937</v>
      </c>
      <c r="C182" s="22" t="s">
        <v>13</v>
      </c>
      <c r="D182" s="22" t="s">
        <v>27</v>
      </c>
      <c r="E182" s="22" t="s">
        <v>35</v>
      </c>
      <c r="F182" s="24" t="n">
        <v>1</v>
      </c>
      <c r="G182" s="25" t="n">
        <v>24000</v>
      </c>
      <c r="H182" s="26" t="n">
        <v>0.15</v>
      </c>
      <c r="I182" s="27" t="n">
        <f aca="false">F182*G182*(1-H182)</f>
        <v>20400</v>
      </c>
    </row>
    <row r="183" customFormat="false" ht="15" hidden="false" customHeight="false" outlineLevel="0" collapsed="false">
      <c r="A183" s="22" t="s">
        <v>231</v>
      </c>
      <c r="B183" s="23" t="n">
        <v>45937</v>
      </c>
      <c r="C183" s="22" t="s">
        <v>11</v>
      </c>
      <c r="D183" s="22" t="s">
        <v>29</v>
      </c>
      <c r="E183" s="22" t="s">
        <v>40</v>
      </c>
      <c r="F183" s="24" t="n">
        <v>5</v>
      </c>
      <c r="G183" s="25" t="n">
        <v>450</v>
      </c>
      <c r="H183" s="26" t="n">
        <v>0.1</v>
      </c>
      <c r="I183" s="27" t="n">
        <f aca="false">F183*G183*(1-H183)</f>
        <v>2025</v>
      </c>
    </row>
    <row r="184" customFormat="false" ht="15" hidden="false" customHeight="false" outlineLevel="0" collapsed="false">
      <c r="A184" s="22" t="s">
        <v>232</v>
      </c>
      <c r="B184" s="23" t="n">
        <v>45937</v>
      </c>
      <c r="C184" s="22" t="s">
        <v>11</v>
      </c>
      <c r="D184" s="22" t="s">
        <v>30</v>
      </c>
      <c r="E184" s="22" t="s">
        <v>43</v>
      </c>
      <c r="F184" s="24" t="n">
        <v>12</v>
      </c>
      <c r="G184" s="25" t="n">
        <v>3200</v>
      </c>
      <c r="H184" s="26" t="n">
        <v>0</v>
      </c>
      <c r="I184" s="27" t="n">
        <f aca="false">F184*G184*(1-H184)</f>
        <v>38400</v>
      </c>
    </row>
    <row r="185" customFormat="false" ht="15" hidden="false" customHeight="false" outlineLevel="0" collapsed="false">
      <c r="A185" s="22" t="s">
        <v>233</v>
      </c>
      <c r="B185" s="23" t="n">
        <v>45939</v>
      </c>
      <c r="C185" s="22" t="s">
        <v>17</v>
      </c>
      <c r="D185" s="22" t="s">
        <v>27</v>
      </c>
      <c r="E185" s="22" t="s">
        <v>34</v>
      </c>
      <c r="F185" s="24" t="n">
        <v>4</v>
      </c>
      <c r="G185" s="25" t="n">
        <v>55000</v>
      </c>
      <c r="H185" s="26" t="n">
        <v>0.15</v>
      </c>
      <c r="I185" s="27" t="n">
        <f aca="false">F185*G185*(1-H185)</f>
        <v>187000</v>
      </c>
    </row>
    <row r="186" customFormat="false" ht="15" hidden="false" customHeight="false" outlineLevel="0" collapsed="false">
      <c r="A186" s="22" t="s">
        <v>234</v>
      </c>
      <c r="B186" s="23" t="n">
        <v>45943</v>
      </c>
      <c r="C186" s="22" t="s">
        <v>17</v>
      </c>
      <c r="D186" s="22" t="s">
        <v>29</v>
      </c>
      <c r="E186" s="22" t="s">
        <v>40</v>
      </c>
      <c r="F186" s="24" t="n">
        <v>11</v>
      </c>
      <c r="G186" s="25" t="n">
        <v>450</v>
      </c>
      <c r="H186" s="26" t="n">
        <v>0.15</v>
      </c>
      <c r="I186" s="27" t="n">
        <f aca="false">F186*G186*(1-H186)</f>
        <v>4207.5</v>
      </c>
    </row>
    <row r="187" customFormat="false" ht="15" hidden="false" customHeight="false" outlineLevel="0" collapsed="false">
      <c r="A187" s="22" t="s">
        <v>235</v>
      </c>
      <c r="B187" s="23" t="n">
        <v>45944</v>
      </c>
      <c r="C187" s="22" t="s">
        <v>15</v>
      </c>
      <c r="D187" s="22" t="s">
        <v>27</v>
      </c>
      <c r="E187" s="22" t="s">
        <v>35</v>
      </c>
      <c r="F187" s="24" t="n">
        <v>8</v>
      </c>
      <c r="G187" s="25" t="n">
        <v>24000</v>
      </c>
      <c r="H187" s="26" t="n">
        <v>0.1</v>
      </c>
      <c r="I187" s="27" t="n">
        <f aca="false">F187*G187*(1-H187)</f>
        <v>172800</v>
      </c>
    </row>
    <row r="188" customFormat="false" ht="15" hidden="false" customHeight="false" outlineLevel="0" collapsed="false">
      <c r="A188" s="22" t="s">
        <v>236</v>
      </c>
      <c r="B188" s="23" t="n">
        <v>45946</v>
      </c>
      <c r="C188" s="22" t="s">
        <v>13</v>
      </c>
      <c r="D188" s="22" t="s">
        <v>27</v>
      </c>
      <c r="E188" s="22" t="s">
        <v>36</v>
      </c>
      <c r="F188" s="24" t="n">
        <v>4</v>
      </c>
      <c r="G188" s="25" t="n">
        <v>3500</v>
      </c>
      <c r="H188" s="26" t="n">
        <v>0.05</v>
      </c>
      <c r="I188" s="27" t="n">
        <f aca="false">F188*G188*(1-H188)</f>
        <v>13300</v>
      </c>
    </row>
    <row r="189" customFormat="false" ht="15" hidden="false" customHeight="false" outlineLevel="0" collapsed="false">
      <c r="A189" s="22" t="s">
        <v>237</v>
      </c>
      <c r="B189" s="23" t="n">
        <v>45947</v>
      </c>
      <c r="C189" s="22" t="s">
        <v>15</v>
      </c>
      <c r="D189" s="22" t="s">
        <v>28</v>
      </c>
      <c r="E189" s="22" t="s">
        <v>38</v>
      </c>
      <c r="F189" s="24" t="n">
        <v>12</v>
      </c>
      <c r="G189" s="25" t="n">
        <v>18000</v>
      </c>
      <c r="H189" s="26" t="n">
        <v>0.05</v>
      </c>
      <c r="I189" s="27" t="n">
        <f aca="false">F189*G189*(1-H189)</f>
        <v>205200</v>
      </c>
    </row>
    <row r="190" customFormat="false" ht="15" hidden="false" customHeight="false" outlineLevel="0" collapsed="false">
      <c r="A190" s="22" t="s">
        <v>238</v>
      </c>
      <c r="B190" s="23" t="n">
        <v>45950</v>
      </c>
      <c r="C190" s="22" t="s">
        <v>11</v>
      </c>
      <c r="D190" s="22" t="s">
        <v>27</v>
      </c>
      <c r="E190" s="22" t="s">
        <v>35</v>
      </c>
      <c r="F190" s="24" t="n">
        <v>3</v>
      </c>
      <c r="G190" s="25" t="n">
        <v>24000</v>
      </c>
      <c r="H190" s="26" t="n">
        <v>0.15</v>
      </c>
      <c r="I190" s="27" t="n">
        <f aca="false">F190*G190*(1-H190)</f>
        <v>61200</v>
      </c>
    </row>
    <row r="191" customFormat="false" ht="15" hidden="false" customHeight="false" outlineLevel="0" collapsed="false">
      <c r="A191" s="22" t="s">
        <v>239</v>
      </c>
      <c r="B191" s="23" t="n">
        <v>45951</v>
      </c>
      <c r="C191" s="22" t="s">
        <v>13</v>
      </c>
      <c r="D191" s="22" t="s">
        <v>30</v>
      </c>
      <c r="E191" s="22" t="s">
        <v>43</v>
      </c>
      <c r="F191" s="24" t="n">
        <v>12</v>
      </c>
      <c r="G191" s="25" t="n">
        <v>3200</v>
      </c>
      <c r="H191" s="26" t="n">
        <v>0.05</v>
      </c>
      <c r="I191" s="27" t="n">
        <f aca="false">F191*G191*(1-H191)</f>
        <v>36480</v>
      </c>
    </row>
    <row r="192" customFormat="false" ht="15" hidden="false" customHeight="false" outlineLevel="0" collapsed="false">
      <c r="A192" s="22" t="s">
        <v>240</v>
      </c>
      <c r="B192" s="23" t="n">
        <v>45952</v>
      </c>
      <c r="C192" s="22" t="s">
        <v>17</v>
      </c>
      <c r="D192" s="22" t="s">
        <v>29</v>
      </c>
      <c r="E192" s="22" t="s">
        <v>40</v>
      </c>
      <c r="F192" s="24" t="n">
        <v>2</v>
      </c>
      <c r="G192" s="25" t="n">
        <v>450</v>
      </c>
      <c r="H192" s="26" t="n">
        <v>0.15</v>
      </c>
      <c r="I192" s="27" t="n">
        <f aca="false">F192*G192*(1-H192)</f>
        <v>765</v>
      </c>
    </row>
    <row r="193" customFormat="false" ht="15" hidden="false" customHeight="false" outlineLevel="0" collapsed="false">
      <c r="A193" s="22" t="s">
        <v>241</v>
      </c>
      <c r="B193" s="23" t="n">
        <v>45953</v>
      </c>
      <c r="C193" s="22" t="s">
        <v>11</v>
      </c>
      <c r="D193" s="22" t="s">
        <v>27</v>
      </c>
      <c r="E193" s="22" t="s">
        <v>35</v>
      </c>
      <c r="F193" s="24" t="n">
        <v>2</v>
      </c>
      <c r="G193" s="25" t="n">
        <v>24000</v>
      </c>
      <c r="H193" s="26" t="n">
        <v>0.05</v>
      </c>
      <c r="I193" s="27" t="n">
        <f aca="false">F193*G193*(1-H193)</f>
        <v>45600</v>
      </c>
    </row>
    <row r="194" customFormat="false" ht="15" hidden="false" customHeight="false" outlineLevel="0" collapsed="false">
      <c r="A194" s="22" t="s">
        <v>242</v>
      </c>
      <c r="B194" s="23" t="n">
        <v>45955</v>
      </c>
      <c r="C194" s="22" t="s">
        <v>11</v>
      </c>
      <c r="D194" s="22" t="s">
        <v>30</v>
      </c>
      <c r="E194" s="22" t="s">
        <v>41</v>
      </c>
      <c r="F194" s="24" t="n">
        <v>5</v>
      </c>
      <c r="G194" s="25" t="n">
        <v>2200</v>
      </c>
      <c r="H194" s="26" t="n">
        <v>0.1</v>
      </c>
      <c r="I194" s="27" t="n">
        <f aca="false">F194*G194*(1-H194)</f>
        <v>9900</v>
      </c>
    </row>
    <row r="195" customFormat="false" ht="15" hidden="false" customHeight="false" outlineLevel="0" collapsed="false">
      <c r="A195" s="22" t="s">
        <v>243</v>
      </c>
      <c r="B195" s="23" t="n">
        <v>45956</v>
      </c>
      <c r="C195" s="22" t="s">
        <v>13</v>
      </c>
      <c r="D195" s="22" t="s">
        <v>27</v>
      </c>
      <c r="E195" s="22" t="s">
        <v>35</v>
      </c>
      <c r="F195" s="24" t="n">
        <v>9</v>
      </c>
      <c r="G195" s="25" t="n">
        <v>24000</v>
      </c>
      <c r="H195" s="26" t="n">
        <v>0</v>
      </c>
      <c r="I195" s="27" t="n">
        <f aca="false">F195*G195*(1-H195)</f>
        <v>216000</v>
      </c>
    </row>
    <row r="196" customFormat="false" ht="15" hidden="false" customHeight="false" outlineLevel="0" collapsed="false">
      <c r="A196" s="22" t="s">
        <v>244</v>
      </c>
      <c r="B196" s="23" t="n">
        <v>45956</v>
      </c>
      <c r="C196" s="22" t="s">
        <v>15</v>
      </c>
      <c r="D196" s="22" t="s">
        <v>27</v>
      </c>
      <c r="E196" s="22" t="s">
        <v>34</v>
      </c>
      <c r="F196" s="24" t="n">
        <v>1</v>
      </c>
      <c r="G196" s="25" t="n">
        <v>55000</v>
      </c>
      <c r="H196" s="26" t="n">
        <v>0.05</v>
      </c>
      <c r="I196" s="27" t="n">
        <f aca="false">F196*G196*(1-H196)</f>
        <v>52250</v>
      </c>
    </row>
    <row r="197" customFormat="false" ht="15" hidden="false" customHeight="false" outlineLevel="0" collapsed="false">
      <c r="A197" s="22" t="s">
        <v>245</v>
      </c>
      <c r="B197" s="23" t="n">
        <v>45958</v>
      </c>
      <c r="C197" s="22" t="s">
        <v>13</v>
      </c>
      <c r="D197" s="22" t="s">
        <v>27</v>
      </c>
      <c r="E197" s="22" t="s">
        <v>35</v>
      </c>
      <c r="F197" s="24" t="n">
        <v>3</v>
      </c>
      <c r="G197" s="25" t="n">
        <v>24000</v>
      </c>
      <c r="H197" s="26" t="n">
        <v>0.15</v>
      </c>
      <c r="I197" s="27" t="n">
        <f aca="false">F197*G197*(1-H197)</f>
        <v>61200</v>
      </c>
    </row>
    <row r="198" customFormat="false" ht="15" hidden="false" customHeight="false" outlineLevel="0" collapsed="false">
      <c r="A198" s="22" t="s">
        <v>246</v>
      </c>
      <c r="B198" s="23" t="n">
        <v>45960</v>
      </c>
      <c r="C198" s="22" t="s">
        <v>13</v>
      </c>
      <c r="D198" s="22" t="s">
        <v>29</v>
      </c>
      <c r="E198" s="22" t="s">
        <v>40</v>
      </c>
      <c r="F198" s="24" t="n">
        <v>2</v>
      </c>
      <c r="G198" s="25" t="n">
        <v>450</v>
      </c>
      <c r="H198" s="26" t="n">
        <v>0</v>
      </c>
      <c r="I198" s="27" t="n">
        <f aca="false">F198*G198*(1-H198)</f>
        <v>900</v>
      </c>
    </row>
    <row r="199" customFormat="false" ht="15" hidden="false" customHeight="false" outlineLevel="0" collapsed="false">
      <c r="A199" s="22" t="s">
        <v>247</v>
      </c>
      <c r="B199" s="23" t="n">
        <v>45961</v>
      </c>
      <c r="C199" s="22" t="s">
        <v>11</v>
      </c>
      <c r="D199" s="22" t="s">
        <v>27</v>
      </c>
      <c r="E199" s="22" t="s">
        <v>36</v>
      </c>
      <c r="F199" s="24" t="n">
        <v>11</v>
      </c>
      <c r="G199" s="25" t="n">
        <v>3500</v>
      </c>
      <c r="H199" s="26" t="n">
        <v>0.1</v>
      </c>
      <c r="I199" s="27" t="n">
        <f aca="false">F199*G199*(1-H199)</f>
        <v>34650</v>
      </c>
    </row>
    <row r="200" customFormat="false" ht="15" hidden="false" customHeight="false" outlineLevel="0" collapsed="false">
      <c r="A200" s="22" t="s">
        <v>248</v>
      </c>
      <c r="B200" s="23" t="n">
        <v>45961</v>
      </c>
      <c r="C200" s="22" t="s">
        <v>13</v>
      </c>
      <c r="D200" s="22" t="s">
        <v>30</v>
      </c>
      <c r="E200" s="22" t="s">
        <v>43</v>
      </c>
      <c r="F200" s="24" t="n">
        <v>1</v>
      </c>
      <c r="G200" s="25" t="n">
        <v>3200</v>
      </c>
      <c r="H200" s="26" t="n">
        <v>0.05</v>
      </c>
      <c r="I200" s="27" t="n">
        <f aca="false">F200*G200*(1-H200)</f>
        <v>3040</v>
      </c>
    </row>
    <row r="201" customFormat="false" ht="15" hidden="false" customHeight="false" outlineLevel="0" collapsed="false">
      <c r="A201" s="22" t="s">
        <v>249</v>
      </c>
      <c r="B201" s="23" t="n">
        <v>45961</v>
      </c>
      <c r="C201" s="22" t="s">
        <v>17</v>
      </c>
      <c r="D201" s="22" t="s">
        <v>28</v>
      </c>
      <c r="E201" s="22" t="s">
        <v>37</v>
      </c>
      <c r="F201" s="24" t="n">
        <v>11</v>
      </c>
      <c r="G201" s="25" t="n">
        <v>8500</v>
      </c>
      <c r="H201" s="26" t="n">
        <v>0.15</v>
      </c>
      <c r="I201" s="27" t="n">
        <f aca="false">F201*G201*(1-H201)</f>
        <v>79475</v>
      </c>
    </row>
    <row r="202" customFormat="false" ht="15" hidden="false" customHeight="false" outlineLevel="0" collapsed="false">
      <c r="A202" s="22" t="s">
        <v>250</v>
      </c>
      <c r="B202" s="23" t="n">
        <v>45962</v>
      </c>
      <c r="C202" s="22" t="s">
        <v>11</v>
      </c>
      <c r="D202" s="22" t="s">
        <v>30</v>
      </c>
      <c r="E202" s="22" t="s">
        <v>42</v>
      </c>
      <c r="F202" s="24" t="n">
        <v>3</v>
      </c>
      <c r="G202" s="25" t="n">
        <v>900</v>
      </c>
      <c r="H202" s="26" t="n">
        <v>0.1</v>
      </c>
      <c r="I202" s="27" t="n">
        <f aca="false">F202*G202*(1-H202)</f>
        <v>2430</v>
      </c>
    </row>
    <row r="203" customFormat="false" ht="15" hidden="false" customHeight="false" outlineLevel="0" collapsed="false">
      <c r="A203" s="22" t="s">
        <v>251</v>
      </c>
      <c r="B203" s="23" t="n">
        <v>45962</v>
      </c>
      <c r="C203" s="22" t="s">
        <v>11</v>
      </c>
      <c r="D203" s="22" t="s">
        <v>27</v>
      </c>
      <c r="E203" s="22" t="s">
        <v>34</v>
      </c>
      <c r="F203" s="24" t="n">
        <v>6</v>
      </c>
      <c r="G203" s="25" t="n">
        <v>55000</v>
      </c>
      <c r="H203" s="26" t="n">
        <v>0</v>
      </c>
      <c r="I203" s="27" t="n">
        <f aca="false">F203*G203*(1-H203)</f>
        <v>330000</v>
      </c>
    </row>
    <row r="204" customFormat="false" ht="15" hidden="false" customHeight="false" outlineLevel="0" collapsed="false">
      <c r="A204" s="22" t="s">
        <v>252</v>
      </c>
      <c r="B204" s="23" t="n">
        <v>45965</v>
      </c>
      <c r="C204" s="22" t="s">
        <v>17</v>
      </c>
      <c r="D204" s="22" t="s">
        <v>27</v>
      </c>
      <c r="E204" s="22" t="s">
        <v>36</v>
      </c>
      <c r="F204" s="24" t="n">
        <v>3</v>
      </c>
      <c r="G204" s="25" t="n">
        <v>3500</v>
      </c>
      <c r="H204" s="26" t="n">
        <v>0</v>
      </c>
      <c r="I204" s="27" t="n">
        <f aca="false">F204*G204*(1-H204)</f>
        <v>10500</v>
      </c>
    </row>
    <row r="205" customFormat="false" ht="15" hidden="false" customHeight="false" outlineLevel="0" collapsed="false">
      <c r="A205" s="22" t="s">
        <v>253</v>
      </c>
      <c r="B205" s="23" t="n">
        <v>45968</v>
      </c>
      <c r="C205" s="22" t="s">
        <v>15</v>
      </c>
      <c r="D205" s="22" t="s">
        <v>29</v>
      </c>
      <c r="E205" s="22" t="s">
        <v>39</v>
      </c>
      <c r="F205" s="24" t="n">
        <v>12</v>
      </c>
      <c r="G205" s="25" t="n">
        <v>1200</v>
      </c>
      <c r="H205" s="26" t="n">
        <v>0.15</v>
      </c>
      <c r="I205" s="27" t="n">
        <f aca="false">F205*G205*(1-H205)</f>
        <v>12240</v>
      </c>
    </row>
    <row r="206" customFormat="false" ht="15" hidden="false" customHeight="false" outlineLevel="0" collapsed="false">
      <c r="A206" s="22" t="s">
        <v>254</v>
      </c>
      <c r="B206" s="23" t="n">
        <v>45971</v>
      </c>
      <c r="C206" s="22" t="s">
        <v>17</v>
      </c>
      <c r="D206" s="22" t="s">
        <v>29</v>
      </c>
      <c r="E206" s="22" t="s">
        <v>40</v>
      </c>
      <c r="F206" s="24" t="n">
        <v>5</v>
      </c>
      <c r="G206" s="25" t="n">
        <v>450</v>
      </c>
      <c r="H206" s="26" t="n">
        <v>0.05</v>
      </c>
      <c r="I206" s="27" t="n">
        <f aca="false">F206*G206*(1-H206)</f>
        <v>2137.5</v>
      </c>
    </row>
    <row r="207" customFormat="false" ht="15" hidden="false" customHeight="false" outlineLevel="0" collapsed="false">
      <c r="A207" s="22" t="s">
        <v>255</v>
      </c>
      <c r="B207" s="23" t="n">
        <v>45972</v>
      </c>
      <c r="C207" s="22" t="s">
        <v>15</v>
      </c>
      <c r="D207" s="22" t="s">
        <v>27</v>
      </c>
      <c r="E207" s="22" t="s">
        <v>35</v>
      </c>
      <c r="F207" s="24" t="n">
        <v>9</v>
      </c>
      <c r="G207" s="25" t="n">
        <v>24000</v>
      </c>
      <c r="H207" s="26" t="n">
        <v>0.15</v>
      </c>
      <c r="I207" s="27" t="n">
        <f aca="false">F207*G207*(1-H207)</f>
        <v>183600</v>
      </c>
    </row>
    <row r="208" customFormat="false" ht="15" hidden="false" customHeight="false" outlineLevel="0" collapsed="false">
      <c r="A208" s="22" t="s">
        <v>256</v>
      </c>
      <c r="B208" s="23" t="n">
        <v>45973</v>
      </c>
      <c r="C208" s="22" t="s">
        <v>11</v>
      </c>
      <c r="D208" s="22" t="s">
        <v>27</v>
      </c>
      <c r="E208" s="22" t="s">
        <v>35</v>
      </c>
      <c r="F208" s="24" t="n">
        <v>2</v>
      </c>
      <c r="G208" s="25" t="n">
        <v>24000</v>
      </c>
      <c r="H208" s="26" t="n">
        <v>0.1</v>
      </c>
      <c r="I208" s="27" t="n">
        <f aca="false">F208*G208*(1-H208)</f>
        <v>43200</v>
      </c>
    </row>
    <row r="209" customFormat="false" ht="15" hidden="false" customHeight="false" outlineLevel="0" collapsed="false">
      <c r="A209" s="22" t="s">
        <v>257</v>
      </c>
      <c r="B209" s="23" t="n">
        <v>45975</v>
      </c>
      <c r="C209" s="22" t="s">
        <v>17</v>
      </c>
      <c r="D209" s="22" t="s">
        <v>29</v>
      </c>
      <c r="E209" s="22" t="s">
        <v>40</v>
      </c>
      <c r="F209" s="24" t="n">
        <v>1</v>
      </c>
      <c r="G209" s="25" t="n">
        <v>450</v>
      </c>
      <c r="H209" s="26" t="n">
        <v>0</v>
      </c>
      <c r="I209" s="27" t="n">
        <f aca="false">F209*G209*(1-H209)</f>
        <v>450</v>
      </c>
    </row>
    <row r="210" customFormat="false" ht="15" hidden="false" customHeight="false" outlineLevel="0" collapsed="false">
      <c r="A210" s="22" t="s">
        <v>258</v>
      </c>
      <c r="B210" s="23" t="n">
        <v>45976</v>
      </c>
      <c r="C210" s="22" t="s">
        <v>11</v>
      </c>
      <c r="D210" s="22" t="s">
        <v>27</v>
      </c>
      <c r="E210" s="22" t="s">
        <v>36</v>
      </c>
      <c r="F210" s="24" t="n">
        <v>10</v>
      </c>
      <c r="G210" s="25" t="n">
        <v>3500</v>
      </c>
      <c r="H210" s="26" t="n">
        <v>0.15</v>
      </c>
      <c r="I210" s="27" t="n">
        <f aca="false">F210*G210*(1-H210)</f>
        <v>29750</v>
      </c>
    </row>
    <row r="211" customFormat="false" ht="15" hidden="false" customHeight="false" outlineLevel="0" collapsed="false">
      <c r="A211" s="22" t="s">
        <v>259</v>
      </c>
      <c r="B211" s="23" t="n">
        <v>45978</v>
      </c>
      <c r="C211" s="22" t="s">
        <v>17</v>
      </c>
      <c r="D211" s="22" t="s">
        <v>30</v>
      </c>
      <c r="E211" s="22" t="s">
        <v>41</v>
      </c>
      <c r="F211" s="24" t="n">
        <v>8</v>
      </c>
      <c r="G211" s="25" t="n">
        <v>2200</v>
      </c>
      <c r="H211" s="26" t="n">
        <v>0.1</v>
      </c>
      <c r="I211" s="27" t="n">
        <f aca="false">F211*G211*(1-H211)</f>
        <v>15840</v>
      </c>
    </row>
    <row r="212" customFormat="false" ht="15" hidden="false" customHeight="false" outlineLevel="0" collapsed="false">
      <c r="A212" s="22" t="s">
        <v>260</v>
      </c>
      <c r="B212" s="23" t="n">
        <v>45979</v>
      </c>
      <c r="C212" s="22" t="s">
        <v>13</v>
      </c>
      <c r="D212" s="22" t="s">
        <v>30</v>
      </c>
      <c r="E212" s="22" t="s">
        <v>41</v>
      </c>
      <c r="F212" s="24" t="n">
        <v>9</v>
      </c>
      <c r="G212" s="25" t="n">
        <v>2200</v>
      </c>
      <c r="H212" s="26" t="n">
        <v>0.05</v>
      </c>
      <c r="I212" s="27" t="n">
        <f aca="false">F212*G212*(1-H212)</f>
        <v>18810</v>
      </c>
    </row>
    <row r="213" customFormat="false" ht="15" hidden="false" customHeight="false" outlineLevel="0" collapsed="false">
      <c r="A213" s="22" t="s">
        <v>261</v>
      </c>
      <c r="B213" s="23" t="n">
        <v>45980</v>
      </c>
      <c r="C213" s="22" t="s">
        <v>11</v>
      </c>
      <c r="D213" s="22" t="s">
        <v>27</v>
      </c>
      <c r="E213" s="22" t="s">
        <v>34</v>
      </c>
      <c r="F213" s="24" t="n">
        <v>10</v>
      </c>
      <c r="G213" s="25" t="n">
        <v>55000</v>
      </c>
      <c r="H213" s="26" t="n">
        <v>0</v>
      </c>
      <c r="I213" s="27" t="n">
        <f aca="false">F213*G213*(1-H213)</f>
        <v>550000</v>
      </c>
    </row>
    <row r="214" customFormat="false" ht="15" hidden="false" customHeight="false" outlineLevel="0" collapsed="false">
      <c r="A214" s="22" t="s">
        <v>262</v>
      </c>
      <c r="B214" s="23" t="n">
        <v>45981</v>
      </c>
      <c r="C214" s="22" t="s">
        <v>15</v>
      </c>
      <c r="D214" s="22" t="s">
        <v>27</v>
      </c>
      <c r="E214" s="22" t="s">
        <v>34</v>
      </c>
      <c r="F214" s="24" t="n">
        <v>4</v>
      </c>
      <c r="G214" s="25" t="n">
        <v>55000</v>
      </c>
      <c r="H214" s="26" t="n">
        <v>0.05</v>
      </c>
      <c r="I214" s="27" t="n">
        <f aca="false">F214*G214*(1-H214)</f>
        <v>209000</v>
      </c>
    </row>
    <row r="215" customFormat="false" ht="15" hidden="false" customHeight="false" outlineLevel="0" collapsed="false">
      <c r="A215" s="22" t="s">
        <v>263</v>
      </c>
      <c r="B215" s="23" t="n">
        <v>45982</v>
      </c>
      <c r="C215" s="22" t="s">
        <v>15</v>
      </c>
      <c r="D215" s="22" t="s">
        <v>28</v>
      </c>
      <c r="E215" s="22" t="s">
        <v>38</v>
      </c>
      <c r="F215" s="24" t="n">
        <v>10</v>
      </c>
      <c r="G215" s="25" t="n">
        <v>18000</v>
      </c>
      <c r="H215" s="26" t="n">
        <v>0.15</v>
      </c>
      <c r="I215" s="27" t="n">
        <f aca="false">F215*G215*(1-H215)</f>
        <v>153000</v>
      </c>
    </row>
    <row r="216" customFormat="false" ht="15" hidden="false" customHeight="false" outlineLevel="0" collapsed="false">
      <c r="A216" s="22" t="s">
        <v>264</v>
      </c>
      <c r="B216" s="23" t="n">
        <v>45982</v>
      </c>
      <c r="C216" s="22" t="s">
        <v>15</v>
      </c>
      <c r="D216" s="22" t="s">
        <v>30</v>
      </c>
      <c r="E216" s="22" t="s">
        <v>42</v>
      </c>
      <c r="F216" s="24" t="n">
        <v>9</v>
      </c>
      <c r="G216" s="25" t="n">
        <v>900</v>
      </c>
      <c r="H216" s="26" t="n">
        <v>0.15</v>
      </c>
      <c r="I216" s="27" t="n">
        <f aca="false">F216*G216*(1-H216)</f>
        <v>6885</v>
      </c>
    </row>
    <row r="217" customFormat="false" ht="15" hidden="false" customHeight="false" outlineLevel="0" collapsed="false">
      <c r="A217" s="22" t="s">
        <v>265</v>
      </c>
      <c r="B217" s="23" t="n">
        <v>45983</v>
      </c>
      <c r="C217" s="22" t="s">
        <v>15</v>
      </c>
      <c r="D217" s="22" t="s">
        <v>28</v>
      </c>
      <c r="E217" s="22" t="s">
        <v>37</v>
      </c>
      <c r="F217" s="24" t="n">
        <v>9</v>
      </c>
      <c r="G217" s="25" t="n">
        <v>8500</v>
      </c>
      <c r="H217" s="26" t="n">
        <v>0.05</v>
      </c>
      <c r="I217" s="27" t="n">
        <f aca="false">F217*G217*(1-H217)</f>
        <v>72675</v>
      </c>
    </row>
    <row r="218" customFormat="false" ht="15" hidden="false" customHeight="false" outlineLevel="0" collapsed="false">
      <c r="A218" s="22" t="s">
        <v>266</v>
      </c>
      <c r="B218" s="23" t="n">
        <v>45985</v>
      </c>
      <c r="C218" s="22" t="s">
        <v>13</v>
      </c>
      <c r="D218" s="22" t="s">
        <v>30</v>
      </c>
      <c r="E218" s="22" t="s">
        <v>43</v>
      </c>
      <c r="F218" s="24" t="n">
        <v>9</v>
      </c>
      <c r="G218" s="25" t="n">
        <v>3200</v>
      </c>
      <c r="H218" s="26" t="n">
        <v>0.1</v>
      </c>
      <c r="I218" s="27" t="n">
        <f aca="false">F218*G218*(1-H218)</f>
        <v>25920</v>
      </c>
    </row>
    <row r="219" customFormat="false" ht="15" hidden="false" customHeight="false" outlineLevel="0" collapsed="false">
      <c r="A219" s="22" t="s">
        <v>267</v>
      </c>
      <c r="B219" s="23" t="n">
        <v>45987</v>
      </c>
      <c r="C219" s="22" t="s">
        <v>17</v>
      </c>
      <c r="D219" s="22" t="s">
        <v>29</v>
      </c>
      <c r="E219" s="22" t="s">
        <v>40</v>
      </c>
      <c r="F219" s="24" t="n">
        <v>5</v>
      </c>
      <c r="G219" s="25" t="n">
        <v>450</v>
      </c>
      <c r="H219" s="26" t="n">
        <v>0.15</v>
      </c>
      <c r="I219" s="27" t="n">
        <f aca="false">F219*G219*(1-H219)</f>
        <v>1912.5</v>
      </c>
    </row>
    <row r="220" customFormat="false" ht="15" hidden="false" customHeight="false" outlineLevel="0" collapsed="false">
      <c r="A220" s="22" t="s">
        <v>268</v>
      </c>
      <c r="B220" s="23" t="n">
        <v>45987</v>
      </c>
      <c r="C220" s="22" t="s">
        <v>17</v>
      </c>
      <c r="D220" s="22" t="s">
        <v>28</v>
      </c>
      <c r="E220" s="22" t="s">
        <v>37</v>
      </c>
      <c r="F220" s="24" t="n">
        <v>6</v>
      </c>
      <c r="G220" s="25" t="n">
        <v>8500</v>
      </c>
      <c r="H220" s="26" t="n">
        <v>0.05</v>
      </c>
      <c r="I220" s="27" t="n">
        <f aca="false">F220*G220*(1-H220)</f>
        <v>48450</v>
      </c>
    </row>
    <row r="221" customFormat="false" ht="15" hidden="false" customHeight="false" outlineLevel="0" collapsed="false">
      <c r="A221" s="22" t="s">
        <v>269</v>
      </c>
      <c r="B221" s="23" t="n">
        <v>45989</v>
      </c>
      <c r="C221" s="22" t="s">
        <v>15</v>
      </c>
      <c r="D221" s="22" t="s">
        <v>28</v>
      </c>
      <c r="E221" s="22" t="s">
        <v>37</v>
      </c>
      <c r="F221" s="24" t="n">
        <v>4</v>
      </c>
      <c r="G221" s="25" t="n">
        <v>8500</v>
      </c>
      <c r="H221" s="26" t="n">
        <v>0.05</v>
      </c>
      <c r="I221" s="27" t="n">
        <f aca="false">F221*G221*(1-H221)</f>
        <v>32300</v>
      </c>
    </row>
    <row r="222" customFormat="false" ht="15" hidden="false" customHeight="false" outlineLevel="0" collapsed="false">
      <c r="A222" s="22" t="s">
        <v>270</v>
      </c>
      <c r="B222" s="23" t="n">
        <v>45991</v>
      </c>
      <c r="C222" s="22" t="s">
        <v>11</v>
      </c>
      <c r="D222" s="22" t="s">
        <v>28</v>
      </c>
      <c r="E222" s="22" t="s">
        <v>37</v>
      </c>
      <c r="F222" s="24" t="n">
        <v>6</v>
      </c>
      <c r="G222" s="25" t="n">
        <v>8500</v>
      </c>
      <c r="H222" s="26" t="n">
        <v>0.05</v>
      </c>
      <c r="I222" s="27" t="n">
        <f aca="false">F222*G222*(1-H222)</f>
        <v>48450</v>
      </c>
    </row>
    <row r="223" customFormat="false" ht="15" hidden="false" customHeight="false" outlineLevel="0" collapsed="false">
      <c r="A223" s="22" t="s">
        <v>271</v>
      </c>
      <c r="B223" s="23" t="n">
        <v>45994</v>
      </c>
      <c r="C223" s="22" t="s">
        <v>17</v>
      </c>
      <c r="D223" s="22" t="s">
        <v>27</v>
      </c>
      <c r="E223" s="22" t="s">
        <v>34</v>
      </c>
      <c r="F223" s="24" t="n">
        <v>10</v>
      </c>
      <c r="G223" s="25" t="n">
        <v>55000</v>
      </c>
      <c r="H223" s="26" t="n">
        <v>0.05</v>
      </c>
      <c r="I223" s="27" t="n">
        <f aca="false">F223*G223*(1-H223)</f>
        <v>522500</v>
      </c>
    </row>
    <row r="224" customFormat="false" ht="15" hidden="false" customHeight="false" outlineLevel="0" collapsed="false">
      <c r="A224" s="22" t="s">
        <v>272</v>
      </c>
      <c r="B224" s="23" t="n">
        <v>45994</v>
      </c>
      <c r="C224" s="22" t="s">
        <v>15</v>
      </c>
      <c r="D224" s="22" t="s">
        <v>27</v>
      </c>
      <c r="E224" s="22" t="s">
        <v>35</v>
      </c>
      <c r="F224" s="24" t="n">
        <v>4</v>
      </c>
      <c r="G224" s="25" t="n">
        <v>24000</v>
      </c>
      <c r="H224" s="26" t="n">
        <v>0.05</v>
      </c>
      <c r="I224" s="27" t="n">
        <f aca="false">F224*G224*(1-H224)</f>
        <v>91200</v>
      </c>
    </row>
    <row r="225" customFormat="false" ht="15" hidden="false" customHeight="false" outlineLevel="0" collapsed="false">
      <c r="A225" s="22" t="s">
        <v>273</v>
      </c>
      <c r="B225" s="23" t="n">
        <v>45999</v>
      </c>
      <c r="C225" s="22" t="s">
        <v>15</v>
      </c>
      <c r="D225" s="22" t="s">
        <v>27</v>
      </c>
      <c r="E225" s="22" t="s">
        <v>34</v>
      </c>
      <c r="F225" s="24" t="n">
        <v>10</v>
      </c>
      <c r="G225" s="25" t="n">
        <v>55000</v>
      </c>
      <c r="H225" s="26" t="n">
        <v>0.15</v>
      </c>
      <c r="I225" s="27" t="n">
        <f aca="false">F225*G225*(1-H225)</f>
        <v>467500</v>
      </c>
    </row>
    <row r="226" customFormat="false" ht="15" hidden="false" customHeight="false" outlineLevel="0" collapsed="false">
      <c r="A226" s="22" t="s">
        <v>274</v>
      </c>
      <c r="B226" s="23" t="n">
        <v>45999</v>
      </c>
      <c r="C226" s="22" t="s">
        <v>13</v>
      </c>
      <c r="D226" s="22" t="s">
        <v>27</v>
      </c>
      <c r="E226" s="22" t="s">
        <v>34</v>
      </c>
      <c r="F226" s="24" t="n">
        <v>10</v>
      </c>
      <c r="G226" s="25" t="n">
        <v>55000</v>
      </c>
      <c r="H226" s="26" t="n">
        <v>0.15</v>
      </c>
      <c r="I226" s="27" t="n">
        <f aca="false">F226*G226*(1-H226)</f>
        <v>467500</v>
      </c>
    </row>
    <row r="227" customFormat="false" ht="15" hidden="false" customHeight="false" outlineLevel="0" collapsed="false">
      <c r="A227" s="22" t="s">
        <v>275</v>
      </c>
      <c r="B227" s="23" t="n">
        <v>45999</v>
      </c>
      <c r="C227" s="22" t="s">
        <v>13</v>
      </c>
      <c r="D227" s="22" t="s">
        <v>30</v>
      </c>
      <c r="E227" s="22" t="s">
        <v>41</v>
      </c>
      <c r="F227" s="24" t="n">
        <v>7</v>
      </c>
      <c r="G227" s="25" t="n">
        <v>2200</v>
      </c>
      <c r="H227" s="26" t="n">
        <v>0.05</v>
      </c>
      <c r="I227" s="27" t="n">
        <f aca="false">F227*G227*(1-H227)</f>
        <v>14630</v>
      </c>
    </row>
    <row r="228" customFormat="false" ht="15" hidden="false" customHeight="false" outlineLevel="0" collapsed="false">
      <c r="A228" s="22" t="s">
        <v>276</v>
      </c>
      <c r="B228" s="23" t="n">
        <v>46003</v>
      </c>
      <c r="C228" s="22" t="s">
        <v>13</v>
      </c>
      <c r="D228" s="22" t="s">
        <v>30</v>
      </c>
      <c r="E228" s="22" t="s">
        <v>43</v>
      </c>
      <c r="F228" s="24" t="n">
        <v>6</v>
      </c>
      <c r="G228" s="25" t="n">
        <v>3200</v>
      </c>
      <c r="H228" s="26" t="n">
        <v>0</v>
      </c>
      <c r="I228" s="27" t="n">
        <f aca="false">F228*G228*(1-H228)</f>
        <v>19200</v>
      </c>
    </row>
    <row r="229" customFormat="false" ht="15" hidden="false" customHeight="false" outlineLevel="0" collapsed="false">
      <c r="A229" s="22" t="s">
        <v>277</v>
      </c>
      <c r="B229" s="23" t="n">
        <v>46005</v>
      </c>
      <c r="C229" s="22" t="s">
        <v>11</v>
      </c>
      <c r="D229" s="22" t="s">
        <v>27</v>
      </c>
      <c r="E229" s="22" t="s">
        <v>36</v>
      </c>
      <c r="F229" s="24" t="n">
        <v>2</v>
      </c>
      <c r="G229" s="25" t="n">
        <v>3500</v>
      </c>
      <c r="H229" s="26" t="n">
        <v>0.1</v>
      </c>
      <c r="I229" s="27" t="n">
        <f aca="false">F229*G229*(1-H229)</f>
        <v>6300</v>
      </c>
    </row>
    <row r="230" customFormat="false" ht="15" hidden="false" customHeight="false" outlineLevel="0" collapsed="false">
      <c r="A230" s="22" t="s">
        <v>278</v>
      </c>
      <c r="B230" s="23" t="n">
        <v>46006</v>
      </c>
      <c r="C230" s="22" t="s">
        <v>13</v>
      </c>
      <c r="D230" s="22" t="s">
        <v>30</v>
      </c>
      <c r="E230" s="22" t="s">
        <v>43</v>
      </c>
      <c r="F230" s="24" t="n">
        <v>4</v>
      </c>
      <c r="G230" s="25" t="n">
        <v>3200</v>
      </c>
      <c r="H230" s="26" t="n">
        <v>0.05</v>
      </c>
      <c r="I230" s="27" t="n">
        <f aca="false">F230*G230*(1-H230)</f>
        <v>12160</v>
      </c>
    </row>
    <row r="231" customFormat="false" ht="15" hidden="false" customHeight="false" outlineLevel="0" collapsed="false">
      <c r="A231" s="22" t="s">
        <v>279</v>
      </c>
      <c r="B231" s="23" t="n">
        <v>46007</v>
      </c>
      <c r="C231" s="22" t="s">
        <v>17</v>
      </c>
      <c r="D231" s="22" t="s">
        <v>28</v>
      </c>
      <c r="E231" s="22" t="s">
        <v>38</v>
      </c>
      <c r="F231" s="24" t="n">
        <v>7</v>
      </c>
      <c r="G231" s="25" t="n">
        <v>18000</v>
      </c>
      <c r="H231" s="26" t="n">
        <v>0.05</v>
      </c>
      <c r="I231" s="27" t="n">
        <f aca="false">F231*G231*(1-H231)</f>
        <v>119700</v>
      </c>
    </row>
    <row r="232" customFormat="false" ht="15" hidden="false" customHeight="false" outlineLevel="0" collapsed="false">
      <c r="A232" s="22" t="s">
        <v>280</v>
      </c>
      <c r="B232" s="23" t="n">
        <v>46007</v>
      </c>
      <c r="C232" s="22" t="s">
        <v>13</v>
      </c>
      <c r="D232" s="22" t="s">
        <v>28</v>
      </c>
      <c r="E232" s="22" t="s">
        <v>38</v>
      </c>
      <c r="F232" s="24" t="n">
        <v>7</v>
      </c>
      <c r="G232" s="25" t="n">
        <v>18000</v>
      </c>
      <c r="H232" s="26" t="n">
        <v>0.1</v>
      </c>
      <c r="I232" s="27" t="n">
        <f aca="false">F232*G232*(1-H232)</f>
        <v>113400</v>
      </c>
    </row>
    <row r="233" customFormat="false" ht="15" hidden="false" customHeight="false" outlineLevel="0" collapsed="false">
      <c r="A233" s="22" t="s">
        <v>281</v>
      </c>
      <c r="B233" s="23" t="n">
        <v>46009</v>
      </c>
      <c r="C233" s="22" t="s">
        <v>13</v>
      </c>
      <c r="D233" s="22" t="s">
        <v>27</v>
      </c>
      <c r="E233" s="22" t="s">
        <v>36</v>
      </c>
      <c r="F233" s="24" t="n">
        <v>1</v>
      </c>
      <c r="G233" s="25" t="n">
        <v>3500</v>
      </c>
      <c r="H233" s="26" t="n">
        <v>0</v>
      </c>
      <c r="I233" s="27" t="n">
        <f aca="false">F233*G233*(1-H233)</f>
        <v>3500</v>
      </c>
    </row>
    <row r="234" customFormat="false" ht="15" hidden="false" customHeight="false" outlineLevel="0" collapsed="false">
      <c r="A234" s="22" t="s">
        <v>282</v>
      </c>
      <c r="B234" s="23" t="n">
        <v>46012</v>
      </c>
      <c r="C234" s="22" t="s">
        <v>17</v>
      </c>
      <c r="D234" s="22" t="s">
        <v>30</v>
      </c>
      <c r="E234" s="22" t="s">
        <v>42</v>
      </c>
      <c r="F234" s="24" t="n">
        <v>1</v>
      </c>
      <c r="G234" s="25" t="n">
        <v>900</v>
      </c>
      <c r="H234" s="26" t="n">
        <v>0</v>
      </c>
      <c r="I234" s="27" t="n">
        <f aca="false">F234*G234*(1-H234)</f>
        <v>900</v>
      </c>
    </row>
    <row r="235" customFormat="false" ht="15" hidden="false" customHeight="false" outlineLevel="0" collapsed="false">
      <c r="A235" s="22" t="s">
        <v>283</v>
      </c>
      <c r="B235" s="23" t="n">
        <v>46012</v>
      </c>
      <c r="C235" s="22" t="s">
        <v>13</v>
      </c>
      <c r="D235" s="22" t="s">
        <v>30</v>
      </c>
      <c r="E235" s="22" t="s">
        <v>43</v>
      </c>
      <c r="F235" s="24" t="n">
        <v>8</v>
      </c>
      <c r="G235" s="25" t="n">
        <v>3200</v>
      </c>
      <c r="H235" s="26" t="n">
        <v>0.15</v>
      </c>
      <c r="I235" s="27" t="n">
        <f aca="false">F235*G235*(1-H235)</f>
        <v>21760</v>
      </c>
    </row>
    <row r="236" customFormat="false" ht="15" hidden="false" customHeight="false" outlineLevel="0" collapsed="false">
      <c r="A236" s="22" t="s">
        <v>284</v>
      </c>
      <c r="B236" s="23" t="n">
        <v>46013</v>
      </c>
      <c r="C236" s="22" t="s">
        <v>15</v>
      </c>
      <c r="D236" s="22" t="s">
        <v>27</v>
      </c>
      <c r="E236" s="22" t="s">
        <v>34</v>
      </c>
      <c r="F236" s="24" t="n">
        <v>11</v>
      </c>
      <c r="G236" s="25" t="n">
        <v>55000</v>
      </c>
      <c r="H236" s="26" t="n">
        <v>0.1</v>
      </c>
      <c r="I236" s="27" t="n">
        <f aca="false">F236*G236*(1-H236)</f>
        <v>544500</v>
      </c>
    </row>
    <row r="237" customFormat="false" ht="15" hidden="false" customHeight="false" outlineLevel="0" collapsed="false">
      <c r="A237" s="22" t="s">
        <v>285</v>
      </c>
      <c r="B237" s="23" t="n">
        <v>46013</v>
      </c>
      <c r="C237" s="22" t="s">
        <v>17</v>
      </c>
      <c r="D237" s="22" t="s">
        <v>27</v>
      </c>
      <c r="E237" s="22" t="s">
        <v>35</v>
      </c>
      <c r="F237" s="24" t="n">
        <v>11</v>
      </c>
      <c r="G237" s="25" t="n">
        <v>24000</v>
      </c>
      <c r="H237" s="26" t="n">
        <v>0</v>
      </c>
      <c r="I237" s="27" t="n">
        <f aca="false">F237*G237*(1-H237)</f>
        <v>264000</v>
      </c>
    </row>
    <row r="238" customFormat="false" ht="15" hidden="false" customHeight="false" outlineLevel="0" collapsed="false">
      <c r="A238" s="22" t="s">
        <v>286</v>
      </c>
      <c r="B238" s="23" t="n">
        <v>46014</v>
      </c>
      <c r="C238" s="22" t="s">
        <v>11</v>
      </c>
      <c r="D238" s="22" t="s">
        <v>30</v>
      </c>
      <c r="E238" s="22" t="s">
        <v>42</v>
      </c>
      <c r="F238" s="24" t="n">
        <v>4</v>
      </c>
      <c r="G238" s="25" t="n">
        <v>900</v>
      </c>
      <c r="H238" s="26" t="n">
        <v>0.05</v>
      </c>
      <c r="I238" s="27" t="n">
        <f aca="false">F238*G238*(1-H238)</f>
        <v>3420</v>
      </c>
    </row>
    <row r="239" customFormat="false" ht="15" hidden="false" customHeight="false" outlineLevel="0" collapsed="false">
      <c r="A239" s="22" t="s">
        <v>287</v>
      </c>
      <c r="B239" s="23" t="n">
        <v>46017</v>
      </c>
      <c r="C239" s="22" t="s">
        <v>15</v>
      </c>
      <c r="D239" s="22" t="s">
        <v>27</v>
      </c>
      <c r="E239" s="22" t="s">
        <v>34</v>
      </c>
      <c r="F239" s="24" t="n">
        <v>2</v>
      </c>
      <c r="G239" s="25" t="n">
        <v>55000</v>
      </c>
      <c r="H239" s="26" t="n">
        <v>0</v>
      </c>
      <c r="I239" s="27" t="n">
        <f aca="false">F239*G239*(1-H239)</f>
        <v>110000</v>
      </c>
    </row>
    <row r="240" customFormat="false" ht="15" hidden="false" customHeight="false" outlineLevel="0" collapsed="false">
      <c r="A240" s="22" t="s">
        <v>288</v>
      </c>
      <c r="B240" s="23" t="n">
        <v>46017</v>
      </c>
      <c r="C240" s="22" t="s">
        <v>17</v>
      </c>
      <c r="D240" s="22" t="s">
        <v>27</v>
      </c>
      <c r="E240" s="22" t="s">
        <v>34</v>
      </c>
      <c r="F240" s="24" t="n">
        <v>2</v>
      </c>
      <c r="G240" s="25" t="n">
        <v>55000</v>
      </c>
      <c r="H240" s="26" t="n">
        <v>0</v>
      </c>
      <c r="I240" s="27" t="n">
        <f aca="false">F240*G240*(1-H240)</f>
        <v>110000</v>
      </c>
    </row>
    <row r="241" customFormat="false" ht="15" hidden="false" customHeight="false" outlineLevel="0" collapsed="false">
      <c r="A241" s="22" t="s">
        <v>289</v>
      </c>
      <c r="B241" s="23" t="n">
        <v>46019</v>
      </c>
      <c r="C241" s="22" t="s">
        <v>15</v>
      </c>
      <c r="D241" s="22" t="s">
        <v>29</v>
      </c>
      <c r="E241" s="22" t="s">
        <v>39</v>
      </c>
      <c r="F241" s="24" t="n">
        <v>1</v>
      </c>
      <c r="G241" s="25" t="n">
        <v>1200</v>
      </c>
      <c r="H241" s="26" t="n">
        <v>0.05</v>
      </c>
      <c r="I241" s="27" t="n">
        <f aca="false">F241*G241*(1-H241)</f>
        <v>1140</v>
      </c>
    </row>
  </sheetData>
  <autoFilter ref="A1:I2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8" t="s">
        <v>290</v>
      </c>
    </row>
    <row r="2" customFormat="false" ht="15" hidden="false" customHeight="false" outlineLevel="0" collapsed="false">
      <c r="A2" s="29" t="s">
        <v>291</v>
      </c>
    </row>
    <row r="3" customFormat="false" ht="15" hidden="false" customHeight="false" outlineLevel="0" collapsed="false">
      <c r="A3" s="29" t="s">
        <v>292</v>
      </c>
    </row>
    <row r="4" customFormat="false" ht="15" hidden="false" customHeight="false" outlineLevel="0" collapsed="false">
      <c r="A4" s="29"/>
    </row>
    <row r="5" customFormat="false" ht="15" hidden="false" customHeight="false" outlineLevel="0" collapsed="false">
      <c r="A5" s="28" t="s">
        <v>293</v>
      </c>
    </row>
    <row r="6" customFormat="false" ht="15" hidden="false" customHeight="false" outlineLevel="0" collapsed="false">
      <c r="A6" s="29" t="s">
        <v>294</v>
      </c>
    </row>
    <row r="7" customFormat="false" ht="15" hidden="false" customHeight="false" outlineLevel="0" collapsed="false">
      <c r="A7" s="29" t="s">
        <v>295</v>
      </c>
    </row>
    <row r="8" customFormat="false" ht="15" hidden="false" customHeight="false" outlineLevel="0" collapsed="false">
      <c r="A8" s="29"/>
    </row>
    <row r="9" customFormat="false" ht="15" hidden="false" customHeight="false" outlineLevel="0" collapsed="false">
      <c r="A9" s="28" t="s">
        <v>296</v>
      </c>
    </row>
    <row r="10" customFormat="false" ht="15" hidden="false" customHeight="false" outlineLevel="0" collapsed="false">
      <c r="A10" s="29" t="s">
        <v>297</v>
      </c>
    </row>
    <row r="11" customFormat="false" ht="15" hidden="false" customHeight="false" outlineLevel="0" collapsed="false">
      <c r="A11" s="29" t="s">
        <v>298</v>
      </c>
    </row>
    <row r="12" customFormat="false" ht="15" hidden="false" customHeight="false" outlineLevel="0" collapsed="false">
      <c r="A12" s="29" t="s">
        <v>299</v>
      </c>
    </row>
    <row r="13" customFormat="false" ht="15" hidden="false" customHeight="false" outlineLevel="0" collapsed="false">
      <c r="A13" s="29" t="s">
        <v>300</v>
      </c>
    </row>
    <row r="14" customFormat="false" ht="15" hidden="false" customHeight="false" outlineLevel="0" collapsed="false">
      <c r="A14" s="29" t="s">
        <v>301</v>
      </c>
    </row>
    <row r="15" customFormat="false" ht="15" hidden="false" customHeight="false" outlineLevel="0" collapsed="false">
      <c r="A15" s="29"/>
    </row>
    <row r="16" customFormat="false" ht="15" hidden="false" customHeight="false" outlineLevel="0" collapsed="false">
      <c r="A16" s="28" t="s">
        <v>302</v>
      </c>
    </row>
    <row r="17" customFormat="false" ht="15" hidden="false" customHeight="false" outlineLevel="0" collapsed="false">
      <c r="A17" s="29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2026-10-01T15:38:28Z</dcterms:created>
  <dc:creator>openpyxl</dc:creator>
  <dc:description/>
  <dc:language>en-US</dc:language>
  <cp:lastModifiedBy/>
  <dcterms:modified xsi:type="dcterms:W3CDTF">2026-10-01T15:38:31Z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